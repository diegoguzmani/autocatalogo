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/Documents/work/catalogo/autocatalogo/documentos/"/>
    </mc:Choice>
  </mc:AlternateContent>
  <xr:revisionPtr revIDLastSave="0" documentId="13_ncr:1_{BB101C29-CF43-C54B-9A8C-7239A2E56E19}" xr6:coauthVersionLast="47" xr6:coauthVersionMax="47" xr10:uidLastSave="{00000000-0000-0000-0000-000000000000}"/>
  <bookViews>
    <workbookView xWindow="4420" yWindow="680" windowWidth="25820" windowHeight="17500" xr2:uid="{3357CA87-4ACD-4905-84C1-A0CF6EE7F059}"/>
  </bookViews>
  <sheets>
    <sheet name="LISTA DE PRECIO" sheetId="1" r:id="rId1"/>
    <sheet name="PRODUCTOS PARA INACTIVAR" sheetId="2" r:id="rId2"/>
  </sheets>
  <definedNames>
    <definedName name="_xlnm._FilterDatabase" localSheetId="0" hidden="1">'LISTA DE PRECIO'!$L$48:$M$48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H14" i="1"/>
  <c r="I14" i="1" s="1"/>
  <c r="J14" i="1" s="1"/>
  <c r="H15" i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H24" i="1"/>
  <c r="H25" i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H34" i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H44" i="1"/>
  <c r="H45" i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H54" i="1"/>
  <c r="H55" i="1"/>
  <c r="I55" i="1" s="1"/>
  <c r="J55" i="1" s="1"/>
  <c r="H56" i="1"/>
  <c r="I56" i="1" s="1"/>
  <c r="J56" i="1" s="1"/>
  <c r="H57" i="1"/>
  <c r="I57" i="1" s="1"/>
  <c r="J57" i="1" s="1"/>
  <c r="H58" i="1"/>
  <c r="I58" i="1" s="1"/>
  <c r="J58" i="1" s="1"/>
  <c r="H59" i="1"/>
  <c r="I59" i="1" s="1"/>
  <c r="J59" i="1" s="1"/>
  <c r="H60" i="1"/>
  <c r="I60" i="1" s="1"/>
  <c r="J60" i="1" s="1"/>
  <c r="H61" i="1"/>
  <c r="I61" i="1" s="1"/>
  <c r="J61" i="1" s="1"/>
  <c r="H62" i="1"/>
  <c r="I62" i="1" s="1"/>
  <c r="J62" i="1" s="1"/>
  <c r="H63" i="1"/>
  <c r="H64" i="1"/>
  <c r="I64" i="1" s="1"/>
  <c r="J64" i="1" s="1"/>
  <c r="H65" i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H74" i="1"/>
  <c r="H75" i="1"/>
  <c r="H76" i="1"/>
  <c r="I76" i="1" s="1"/>
  <c r="J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H84" i="1"/>
  <c r="I84" i="1" s="1"/>
  <c r="J84" i="1" s="1"/>
  <c r="H85" i="1"/>
  <c r="H86" i="1"/>
  <c r="I86" i="1" s="1"/>
  <c r="J86" i="1" s="1"/>
  <c r="H87" i="1"/>
  <c r="I87" i="1" s="1"/>
  <c r="J87" i="1" s="1"/>
  <c r="H88" i="1"/>
  <c r="I88" i="1" s="1"/>
  <c r="J88" i="1" s="1"/>
  <c r="H89" i="1"/>
  <c r="I89" i="1" s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H94" i="1"/>
  <c r="H95" i="1"/>
  <c r="I95" i="1" s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H104" i="1"/>
  <c r="I104" i="1" s="1"/>
  <c r="J104" i="1" s="1"/>
  <c r="H105" i="1"/>
  <c r="I105" i="1" s="1"/>
  <c r="J105" i="1" s="1"/>
  <c r="H106" i="1"/>
  <c r="I106" i="1" s="1"/>
  <c r="J106" i="1" s="1"/>
  <c r="H107" i="1"/>
  <c r="I107" i="1" s="1"/>
  <c r="J107" i="1" s="1"/>
  <c r="H108" i="1"/>
  <c r="I108" i="1" s="1"/>
  <c r="J108" i="1" s="1"/>
  <c r="H109" i="1"/>
  <c r="I109" i="1" s="1"/>
  <c r="J109" i="1" s="1"/>
  <c r="H110" i="1"/>
  <c r="I110" i="1" s="1"/>
  <c r="J110" i="1" s="1"/>
  <c r="H111" i="1"/>
  <c r="I111" i="1" s="1"/>
  <c r="J111" i="1" s="1"/>
  <c r="H112" i="1"/>
  <c r="I112" i="1" s="1"/>
  <c r="J112" i="1" s="1"/>
  <c r="H113" i="1"/>
  <c r="H114" i="1"/>
  <c r="I114" i="1" s="1"/>
  <c r="J114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J120" i="1" s="1"/>
  <c r="H121" i="1"/>
  <c r="I121" i="1" s="1"/>
  <c r="J121" i="1" s="1"/>
  <c r="H122" i="1"/>
  <c r="I122" i="1" s="1"/>
  <c r="J122" i="1" s="1"/>
  <c r="H123" i="1"/>
  <c r="I123" i="1" s="1"/>
  <c r="J123" i="1" s="1"/>
  <c r="H124" i="1"/>
  <c r="I124" i="1" s="1"/>
  <c r="J124" i="1" s="1"/>
  <c r="H125" i="1"/>
  <c r="H126" i="1"/>
  <c r="I126" i="1" s="1"/>
  <c r="J126" i="1" s="1"/>
  <c r="H127" i="1"/>
  <c r="I127" i="1" s="1"/>
  <c r="J127" i="1" s="1"/>
  <c r="H128" i="1"/>
  <c r="I128" i="1" s="1"/>
  <c r="J128" i="1" s="1"/>
  <c r="H129" i="1"/>
  <c r="I129" i="1" s="1"/>
  <c r="J129" i="1" s="1"/>
  <c r="H130" i="1"/>
  <c r="I130" i="1" s="1"/>
  <c r="J130" i="1" s="1"/>
  <c r="H131" i="1"/>
  <c r="I131" i="1" s="1"/>
  <c r="J131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0" i="1"/>
  <c r="I140" i="1" s="1"/>
  <c r="J140" i="1" s="1"/>
  <c r="H141" i="1"/>
  <c r="I141" i="1" s="1"/>
  <c r="J141" i="1" s="1"/>
  <c r="H142" i="1"/>
  <c r="I142" i="1" s="1"/>
  <c r="J142" i="1" s="1"/>
  <c r="H143" i="1"/>
  <c r="I143" i="1" s="1"/>
  <c r="J143" i="1" s="1"/>
  <c r="H144" i="1"/>
  <c r="I144" i="1" s="1"/>
  <c r="J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49" i="1"/>
  <c r="I149" i="1" s="1"/>
  <c r="J149" i="1" s="1"/>
  <c r="H150" i="1"/>
  <c r="I150" i="1" s="1"/>
  <c r="J150" i="1" s="1"/>
  <c r="H151" i="1"/>
  <c r="I151" i="1" s="1"/>
  <c r="J151" i="1" s="1"/>
  <c r="H152" i="1"/>
  <c r="I152" i="1" s="1"/>
  <c r="J152" i="1" s="1"/>
  <c r="H153" i="1"/>
  <c r="I153" i="1" s="1"/>
  <c r="J153" i="1" s="1"/>
  <c r="H154" i="1"/>
  <c r="I154" i="1" s="1"/>
  <c r="J154" i="1" s="1"/>
  <c r="H155" i="1"/>
  <c r="I155" i="1" s="1"/>
  <c r="J155" i="1" s="1"/>
  <c r="H156" i="1"/>
  <c r="I156" i="1" s="1"/>
  <c r="J156" i="1" s="1"/>
  <c r="H157" i="1"/>
  <c r="I157" i="1" s="1"/>
  <c r="J157" i="1" s="1"/>
  <c r="H158" i="1"/>
  <c r="I158" i="1" s="1"/>
  <c r="J158" i="1" s="1"/>
  <c r="H159" i="1"/>
  <c r="I159" i="1" s="1"/>
  <c r="J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J164" i="1" s="1"/>
  <c r="H165" i="1"/>
  <c r="I165" i="1" s="1"/>
  <c r="J165" i="1" s="1"/>
  <c r="H166" i="1"/>
  <c r="I166" i="1" s="1"/>
  <c r="J166" i="1" s="1"/>
  <c r="H167" i="1"/>
  <c r="I167" i="1" s="1"/>
  <c r="J167" i="1" s="1"/>
  <c r="H168" i="1"/>
  <c r="I168" i="1" s="1"/>
  <c r="J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J173" i="1" s="1"/>
  <c r="H174" i="1"/>
  <c r="I174" i="1" s="1"/>
  <c r="J174" i="1" s="1"/>
  <c r="H175" i="1"/>
  <c r="I175" i="1" s="1"/>
  <c r="J175" i="1" s="1"/>
  <c r="H176" i="1"/>
  <c r="I176" i="1" s="1"/>
  <c r="J176" i="1" s="1"/>
  <c r="H177" i="1"/>
  <c r="I177" i="1" s="1"/>
  <c r="J177" i="1" s="1"/>
  <c r="H178" i="1"/>
  <c r="I178" i="1" s="1"/>
  <c r="J178" i="1" s="1"/>
  <c r="H179" i="1"/>
  <c r="I179" i="1" s="1"/>
  <c r="J179" i="1" s="1"/>
  <c r="H180" i="1"/>
  <c r="I180" i="1" s="1"/>
  <c r="J180" i="1" s="1"/>
  <c r="H181" i="1"/>
  <c r="I181" i="1" s="1"/>
  <c r="J181" i="1" s="1"/>
  <c r="H182" i="1"/>
  <c r="I182" i="1" s="1"/>
  <c r="J182" i="1" s="1"/>
  <c r="H183" i="1"/>
  <c r="I183" i="1" s="1"/>
  <c r="J183" i="1" s="1"/>
  <c r="H184" i="1"/>
  <c r="I184" i="1" s="1"/>
  <c r="J184" i="1" s="1"/>
  <c r="H185" i="1"/>
  <c r="H186" i="1"/>
  <c r="I186" i="1" s="1"/>
  <c r="J186" i="1" s="1"/>
  <c r="H187" i="1"/>
  <c r="I187" i="1" s="1"/>
  <c r="J187" i="1" s="1"/>
  <c r="H188" i="1"/>
  <c r="I188" i="1" s="1"/>
  <c r="J188" i="1" s="1"/>
  <c r="H189" i="1"/>
  <c r="I189" i="1" s="1"/>
  <c r="J189" i="1" s="1"/>
  <c r="H190" i="1"/>
  <c r="I190" i="1" s="1"/>
  <c r="J190" i="1" s="1"/>
  <c r="H191" i="1"/>
  <c r="I191" i="1" s="1"/>
  <c r="J191" i="1" s="1"/>
  <c r="H192" i="1"/>
  <c r="I192" i="1" s="1"/>
  <c r="J192" i="1" s="1"/>
  <c r="H193" i="1"/>
  <c r="I193" i="1" s="1"/>
  <c r="J193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J197" i="1" s="1"/>
  <c r="H198" i="1"/>
  <c r="I198" i="1" s="1"/>
  <c r="J198" i="1" s="1"/>
  <c r="H199" i="1"/>
  <c r="I199" i="1" s="1"/>
  <c r="J199" i="1" s="1"/>
  <c r="H200" i="1"/>
  <c r="I200" i="1" s="1"/>
  <c r="J200" i="1" s="1"/>
  <c r="H201" i="1"/>
  <c r="I201" i="1" s="1"/>
  <c r="J201" i="1" s="1"/>
  <c r="H202" i="1"/>
  <c r="I202" i="1" s="1"/>
  <c r="J202" i="1" s="1"/>
  <c r="H203" i="1"/>
  <c r="I203" i="1" s="1"/>
  <c r="J203" i="1" s="1"/>
  <c r="H204" i="1"/>
  <c r="I204" i="1" s="1"/>
  <c r="J204" i="1" s="1"/>
  <c r="H205" i="1"/>
  <c r="I205" i="1" s="1"/>
  <c r="J205" i="1" s="1"/>
  <c r="H206" i="1"/>
  <c r="I206" i="1" s="1"/>
  <c r="J206" i="1" s="1"/>
  <c r="H207" i="1"/>
  <c r="I207" i="1" s="1"/>
  <c r="J207" i="1" s="1"/>
  <c r="H208" i="1"/>
  <c r="I208" i="1" s="1"/>
  <c r="J208" i="1" s="1"/>
  <c r="H209" i="1"/>
  <c r="I209" i="1" s="1"/>
  <c r="J209" i="1" s="1"/>
  <c r="H210" i="1"/>
  <c r="I210" i="1" s="1"/>
  <c r="J210" i="1" s="1"/>
  <c r="H211" i="1"/>
  <c r="I211" i="1" s="1"/>
  <c r="J211" i="1" s="1"/>
  <c r="H212" i="1"/>
  <c r="I212" i="1" s="1"/>
  <c r="J212" i="1" s="1"/>
  <c r="H213" i="1"/>
  <c r="I213" i="1" s="1"/>
  <c r="J213" i="1" s="1"/>
  <c r="H214" i="1"/>
  <c r="I214" i="1" s="1"/>
  <c r="J214" i="1" s="1"/>
  <c r="H215" i="1"/>
  <c r="I215" i="1" s="1"/>
  <c r="J215" i="1" s="1"/>
  <c r="H216" i="1"/>
  <c r="I216" i="1" s="1"/>
  <c r="J216" i="1" s="1"/>
  <c r="H217" i="1"/>
  <c r="I217" i="1" s="1"/>
  <c r="J217" i="1" s="1"/>
  <c r="H218" i="1"/>
  <c r="I218" i="1" s="1"/>
  <c r="J218" i="1" s="1"/>
  <c r="H219" i="1"/>
  <c r="I219" i="1" s="1"/>
  <c r="J219" i="1" s="1"/>
  <c r="H220" i="1"/>
  <c r="I220" i="1" s="1"/>
  <c r="J220" i="1" s="1"/>
  <c r="H221" i="1"/>
  <c r="I221" i="1" s="1"/>
  <c r="J221" i="1" s="1"/>
  <c r="H222" i="1"/>
  <c r="I222" i="1" s="1"/>
  <c r="J222" i="1" s="1"/>
  <c r="H223" i="1"/>
  <c r="I223" i="1" s="1"/>
  <c r="J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28" i="1"/>
  <c r="I228" i="1" s="1"/>
  <c r="J228" i="1" s="1"/>
  <c r="H229" i="1"/>
  <c r="I229" i="1" s="1"/>
  <c r="J229" i="1" s="1"/>
  <c r="H230" i="1"/>
  <c r="I230" i="1" s="1"/>
  <c r="J230" i="1" s="1"/>
  <c r="H231" i="1"/>
  <c r="I231" i="1" s="1"/>
  <c r="J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J244" i="1" s="1"/>
  <c r="H245" i="1"/>
  <c r="I245" i="1" s="1"/>
  <c r="J245" i="1" s="1"/>
  <c r="H246" i="1"/>
  <c r="I246" i="1" s="1"/>
  <c r="J246" i="1" s="1"/>
  <c r="H247" i="1"/>
  <c r="I247" i="1" s="1"/>
  <c r="J247" i="1" s="1"/>
  <c r="H248" i="1"/>
  <c r="I248" i="1" s="1"/>
  <c r="J248" i="1" s="1"/>
  <c r="H249" i="1"/>
  <c r="I249" i="1" s="1"/>
  <c r="J249" i="1" s="1"/>
  <c r="H250" i="1"/>
  <c r="I250" i="1" s="1"/>
  <c r="J250" i="1" s="1"/>
  <c r="H251" i="1"/>
  <c r="I251" i="1" s="1"/>
  <c r="J251" i="1" s="1"/>
  <c r="H252" i="1"/>
  <c r="I252" i="1" s="1"/>
  <c r="J252" i="1" s="1"/>
  <c r="H253" i="1"/>
  <c r="I253" i="1" s="1"/>
  <c r="J253" i="1" s="1"/>
  <c r="H254" i="1"/>
  <c r="I254" i="1" s="1"/>
  <c r="J254" i="1" s="1"/>
  <c r="H255" i="1"/>
  <c r="I255" i="1" s="1"/>
  <c r="J255" i="1" s="1"/>
  <c r="H256" i="1"/>
  <c r="I256" i="1" s="1"/>
  <c r="J256" i="1" s="1"/>
  <c r="H257" i="1"/>
  <c r="I257" i="1" s="1"/>
  <c r="J257" i="1" s="1"/>
  <c r="H258" i="1"/>
  <c r="I258" i="1" s="1"/>
  <c r="J258" i="1" s="1"/>
  <c r="H259" i="1"/>
  <c r="I259" i="1" s="1"/>
  <c r="J259" i="1" s="1"/>
  <c r="H260" i="1"/>
  <c r="I260" i="1" s="1"/>
  <c r="J260" i="1" s="1"/>
  <c r="H261" i="1"/>
  <c r="I261" i="1" s="1"/>
  <c r="J261" i="1" s="1"/>
  <c r="H262" i="1"/>
  <c r="I262" i="1" s="1"/>
  <c r="J262" i="1" s="1"/>
  <c r="H263" i="1"/>
  <c r="I263" i="1" s="1"/>
  <c r="J263" i="1" s="1"/>
  <c r="H264" i="1"/>
  <c r="I264" i="1" s="1"/>
  <c r="J264" i="1" s="1"/>
  <c r="H265" i="1"/>
  <c r="I265" i="1" s="1"/>
  <c r="J265" i="1" s="1"/>
  <c r="H266" i="1"/>
  <c r="I266" i="1" s="1"/>
  <c r="J266" i="1" s="1"/>
  <c r="H267" i="1"/>
  <c r="I267" i="1" s="1"/>
  <c r="J267" i="1" s="1"/>
  <c r="H268" i="1"/>
  <c r="I268" i="1" s="1"/>
  <c r="J268" i="1" s="1"/>
  <c r="H269" i="1"/>
  <c r="I269" i="1" s="1"/>
  <c r="J269" i="1" s="1"/>
  <c r="H270" i="1"/>
  <c r="I270" i="1" s="1"/>
  <c r="J270" i="1" s="1"/>
  <c r="H271" i="1"/>
  <c r="I271" i="1" s="1"/>
  <c r="J271" i="1" s="1"/>
  <c r="H272" i="1"/>
  <c r="I272" i="1" s="1"/>
  <c r="J272" i="1" s="1"/>
  <c r="H273" i="1"/>
  <c r="I273" i="1" s="1"/>
  <c r="J273" i="1" s="1"/>
  <c r="H274" i="1"/>
  <c r="I274" i="1" s="1"/>
  <c r="J274" i="1" s="1"/>
  <c r="H275" i="1"/>
  <c r="I275" i="1" s="1"/>
  <c r="J275" i="1" s="1"/>
  <c r="H276" i="1"/>
  <c r="I276" i="1" s="1"/>
  <c r="J276" i="1" s="1"/>
  <c r="H277" i="1"/>
  <c r="I277" i="1" s="1"/>
  <c r="J277" i="1" s="1"/>
  <c r="H278" i="1"/>
  <c r="I278" i="1" s="1"/>
  <c r="J278" i="1" s="1"/>
  <c r="H279" i="1"/>
  <c r="I279" i="1" s="1"/>
  <c r="J279" i="1" s="1"/>
  <c r="H280" i="1"/>
  <c r="I280" i="1" s="1"/>
  <c r="J280" i="1" s="1"/>
  <c r="H281" i="1"/>
  <c r="I281" i="1" s="1"/>
  <c r="J281" i="1" s="1"/>
  <c r="H282" i="1"/>
  <c r="I282" i="1" s="1"/>
  <c r="J282" i="1" s="1"/>
  <c r="H283" i="1"/>
  <c r="I283" i="1" s="1"/>
  <c r="J283" i="1" s="1"/>
  <c r="H284" i="1"/>
  <c r="I284" i="1" s="1"/>
  <c r="J284" i="1" s="1"/>
  <c r="H285" i="1"/>
  <c r="I285" i="1" s="1"/>
  <c r="J285" i="1" s="1"/>
  <c r="H286" i="1"/>
  <c r="I286" i="1" s="1"/>
  <c r="J286" i="1" s="1"/>
  <c r="H287" i="1"/>
  <c r="I287" i="1" s="1"/>
  <c r="J287" i="1" s="1"/>
  <c r="H288" i="1"/>
  <c r="I288" i="1" s="1"/>
  <c r="J288" i="1" s="1"/>
  <c r="H289" i="1"/>
  <c r="I289" i="1" s="1"/>
  <c r="J289" i="1" s="1"/>
  <c r="H290" i="1"/>
  <c r="I290" i="1" s="1"/>
  <c r="J290" i="1" s="1"/>
  <c r="H291" i="1"/>
  <c r="I291" i="1" s="1"/>
  <c r="J291" i="1" s="1"/>
  <c r="H292" i="1"/>
  <c r="I292" i="1" s="1"/>
  <c r="J292" i="1" s="1"/>
  <c r="H293" i="1"/>
  <c r="I293" i="1" s="1"/>
  <c r="J293" i="1" s="1"/>
  <c r="H294" i="1"/>
  <c r="I294" i="1" s="1"/>
  <c r="J294" i="1" s="1"/>
  <c r="H295" i="1"/>
  <c r="I295" i="1" s="1"/>
  <c r="J295" i="1" s="1"/>
  <c r="H296" i="1"/>
  <c r="I296" i="1" s="1"/>
  <c r="J296" i="1" s="1"/>
  <c r="H297" i="1"/>
  <c r="I297" i="1" s="1"/>
  <c r="J297" i="1" s="1"/>
  <c r="H298" i="1"/>
  <c r="I298" i="1" s="1"/>
  <c r="J298" i="1" s="1"/>
  <c r="H299" i="1"/>
  <c r="I299" i="1" s="1"/>
  <c r="J299" i="1" s="1"/>
  <c r="H300" i="1"/>
  <c r="I300" i="1" s="1"/>
  <c r="J300" i="1" s="1"/>
  <c r="H301" i="1"/>
  <c r="I301" i="1" s="1"/>
  <c r="J301" i="1" s="1"/>
  <c r="H302" i="1"/>
  <c r="I302" i="1" s="1"/>
  <c r="J302" i="1" s="1"/>
  <c r="H303" i="1"/>
  <c r="I303" i="1" s="1"/>
  <c r="J303" i="1" s="1"/>
  <c r="H304" i="1"/>
  <c r="I304" i="1" s="1"/>
  <c r="J304" i="1" s="1"/>
  <c r="H305" i="1"/>
  <c r="H306" i="1"/>
  <c r="I306" i="1" s="1"/>
  <c r="J306" i="1" s="1"/>
  <c r="H307" i="1"/>
  <c r="I307" i="1" s="1"/>
  <c r="J307" i="1" s="1"/>
  <c r="H308" i="1"/>
  <c r="I308" i="1" s="1"/>
  <c r="J308" i="1" s="1"/>
  <c r="H309" i="1"/>
  <c r="I309" i="1" s="1"/>
  <c r="J309" i="1" s="1"/>
  <c r="H310" i="1"/>
  <c r="I310" i="1" s="1"/>
  <c r="J310" i="1" s="1"/>
  <c r="H311" i="1"/>
  <c r="I311" i="1" s="1"/>
  <c r="J311" i="1" s="1"/>
  <c r="H312" i="1"/>
  <c r="I312" i="1" s="1"/>
  <c r="J312" i="1" s="1"/>
  <c r="H313" i="1"/>
  <c r="I313" i="1" s="1"/>
  <c r="J313" i="1" s="1"/>
  <c r="H314" i="1"/>
  <c r="I314" i="1" s="1"/>
  <c r="J314" i="1" s="1"/>
  <c r="H315" i="1"/>
  <c r="I315" i="1" s="1"/>
  <c r="J315" i="1" s="1"/>
  <c r="H316" i="1"/>
  <c r="I316" i="1" s="1"/>
  <c r="J316" i="1" s="1"/>
  <c r="H317" i="1"/>
  <c r="I317" i="1" s="1"/>
  <c r="J317" i="1" s="1"/>
  <c r="H318" i="1"/>
  <c r="I318" i="1" s="1"/>
  <c r="J318" i="1" s="1"/>
  <c r="H319" i="1"/>
  <c r="I319" i="1" s="1"/>
  <c r="J319" i="1" s="1"/>
  <c r="H320" i="1"/>
  <c r="I320" i="1" s="1"/>
  <c r="J320" i="1" s="1"/>
  <c r="H321" i="1"/>
  <c r="I321" i="1" s="1"/>
  <c r="J321" i="1" s="1"/>
  <c r="H322" i="1"/>
  <c r="I322" i="1" s="1"/>
  <c r="J322" i="1" s="1"/>
  <c r="H323" i="1"/>
  <c r="I323" i="1" s="1"/>
  <c r="J323" i="1" s="1"/>
  <c r="H324" i="1"/>
  <c r="I324" i="1" s="1"/>
  <c r="J324" i="1" s="1"/>
  <c r="H325" i="1"/>
  <c r="I325" i="1" s="1"/>
  <c r="J325" i="1" s="1"/>
  <c r="H326" i="1"/>
  <c r="I326" i="1" s="1"/>
  <c r="J326" i="1" s="1"/>
  <c r="H327" i="1"/>
  <c r="I327" i="1" s="1"/>
  <c r="J327" i="1" s="1"/>
  <c r="H328" i="1"/>
  <c r="I328" i="1" s="1"/>
  <c r="J328" i="1" s="1"/>
  <c r="H329" i="1"/>
  <c r="I329" i="1" s="1"/>
  <c r="J329" i="1" s="1"/>
  <c r="H330" i="1"/>
  <c r="I330" i="1" s="1"/>
  <c r="J330" i="1" s="1"/>
  <c r="H331" i="1"/>
  <c r="I331" i="1" s="1"/>
  <c r="J331" i="1" s="1"/>
  <c r="H332" i="1"/>
  <c r="I332" i="1" s="1"/>
  <c r="J332" i="1" s="1"/>
  <c r="H333" i="1"/>
  <c r="I333" i="1" s="1"/>
  <c r="J333" i="1" s="1"/>
  <c r="H334" i="1"/>
  <c r="I334" i="1" s="1"/>
  <c r="J334" i="1" s="1"/>
  <c r="H335" i="1"/>
  <c r="I335" i="1" s="1"/>
  <c r="J335" i="1" s="1"/>
  <c r="H336" i="1"/>
  <c r="I336" i="1" s="1"/>
  <c r="J336" i="1" s="1"/>
  <c r="H337" i="1"/>
  <c r="I337" i="1" s="1"/>
  <c r="J337" i="1" s="1"/>
  <c r="H338" i="1"/>
  <c r="I338" i="1" s="1"/>
  <c r="J338" i="1" s="1"/>
  <c r="H339" i="1"/>
  <c r="I339" i="1" s="1"/>
  <c r="J339" i="1" s="1"/>
  <c r="H340" i="1"/>
  <c r="I340" i="1" s="1"/>
  <c r="J340" i="1" s="1"/>
  <c r="H341" i="1"/>
  <c r="I341" i="1" s="1"/>
  <c r="J341" i="1" s="1"/>
  <c r="H342" i="1"/>
  <c r="I342" i="1" s="1"/>
  <c r="J342" i="1" s="1"/>
  <c r="H343" i="1"/>
  <c r="I343" i="1" s="1"/>
  <c r="J343" i="1" s="1"/>
  <c r="H344" i="1"/>
  <c r="I344" i="1" s="1"/>
  <c r="J344" i="1" s="1"/>
  <c r="H345" i="1"/>
  <c r="I345" i="1" s="1"/>
  <c r="J345" i="1" s="1"/>
  <c r="H346" i="1"/>
  <c r="I346" i="1" s="1"/>
  <c r="J346" i="1" s="1"/>
  <c r="H347" i="1"/>
  <c r="I347" i="1" s="1"/>
  <c r="J347" i="1" s="1"/>
  <c r="H348" i="1"/>
  <c r="I348" i="1" s="1"/>
  <c r="J348" i="1" s="1"/>
  <c r="H349" i="1"/>
  <c r="I349" i="1" s="1"/>
  <c r="J349" i="1" s="1"/>
  <c r="H350" i="1"/>
  <c r="I350" i="1" s="1"/>
  <c r="J350" i="1" s="1"/>
  <c r="H351" i="1"/>
  <c r="I351" i="1" s="1"/>
  <c r="J351" i="1" s="1"/>
  <c r="H352" i="1"/>
  <c r="I352" i="1" s="1"/>
  <c r="J352" i="1" s="1"/>
  <c r="H353" i="1"/>
  <c r="I353" i="1" s="1"/>
  <c r="H354" i="1"/>
  <c r="I354" i="1" s="1"/>
  <c r="J354" i="1" s="1"/>
  <c r="H355" i="1"/>
  <c r="I355" i="1" s="1"/>
  <c r="J355" i="1" s="1"/>
  <c r="H356" i="1"/>
  <c r="I356" i="1" s="1"/>
  <c r="J356" i="1" s="1"/>
  <c r="H357" i="1"/>
  <c r="I357" i="1" s="1"/>
  <c r="H358" i="1"/>
  <c r="I358" i="1" s="1"/>
  <c r="J358" i="1" s="1"/>
  <c r="H359" i="1"/>
  <c r="I359" i="1" s="1"/>
  <c r="J359" i="1" s="1"/>
  <c r="H360" i="1"/>
  <c r="I360" i="1" s="1"/>
  <c r="J360" i="1" s="1"/>
  <c r="H361" i="1"/>
  <c r="I361" i="1" s="1"/>
  <c r="J361" i="1" s="1"/>
  <c r="H362" i="1"/>
  <c r="I362" i="1" s="1"/>
  <c r="J362" i="1" s="1"/>
  <c r="H363" i="1"/>
  <c r="I363" i="1" s="1"/>
  <c r="J363" i="1" s="1"/>
  <c r="H364" i="1"/>
  <c r="I364" i="1" s="1"/>
  <c r="J364" i="1" s="1"/>
  <c r="H365" i="1"/>
  <c r="I365" i="1" s="1"/>
  <c r="J365" i="1" s="1"/>
  <c r="H366" i="1"/>
  <c r="I366" i="1" s="1"/>
  <c r="J366" i="1" s="1"/>
  <c r="H367" i="1"/>
  <c r="I367" i="1" s="1"/>
  <c r="J367" i="1" s="1"/>
  <c r="H368" i="1"/>
  <c r="I368" i="1" s="1"/>
  <c r="J368" i="1" s="1"/>
  <c r="H369" i="1"/>
  <c r="I369" i="1" s="1"/>
  <c r="H370" i="1"/>
  <c r="I370" i="1" s="1"/>
  <c r="J370" i="1" s="1"/>
  <c r="H371" i="1"/>
  <c r="I371" i="1" s="1"/>
  <c r="J371" i="1" s="1"/>
  <c r="H372" i="1"/>
  <c r="I372" i="1" s="1"/>
  <c r="J372" i="1" s="1"/>
  <c r="H373" i="1"/>
  <c r="I373" i="1" s="1"/>
  <c r="J373" i="1" s="1"/>
  <c r="H374" i="1"/>
  <c r="I374" i="1" s="1"/>
  <c r="J374" i="1" s="1"/>
  <c r="H375" i="1"/>
  <c r="I375" i="1" s="1"/>
  <c r="J375" i="1" s="1"/>
  <c r="H376" i="1"/>
  <c r="I376" i="1" s="1"/>
  <c r="J376" i="1" s="1"/>
  <c r="H377" i="1"/>
  <c r="I377" i="1" s="1"/>
  <c r="J377" i="1" s="1"/>
  <c r="H378" i="1"/>
  <c r="I378" i="1" s="1"/>
  <c r="J378" i="1" s="1"/>
  <c r="H379" i="1"/>
  <c r="I379" i="1" s="1"/>
  <c r="J379" i="1" s="1"/>
  <c r="H380" i="1"/>
  <c r="I380" i="1" s="1"/>
  <c r="J380" i="1" s="1"/>
  <c r="H381" i="1"/>
  <c r="I381" i="1" s="1"/>
  <c r="J381" i="1" s="1"/>
  <c r="H382" i="1"/>
  <c r="I382" i="1" s="1"/>
  <c r="J382" i="1" s="1"/>
  <c r="H383" i="1"/>
  <c r="I383" i="1" s="1"/>
  <c r="J383" i="1" s="1"/>
  <c r="H384" i="1"/>
  <c r="I384" i="1" s="1"/>
  <c r="J384" i="1" s="1"/>
  <c r="H385" i="1"/>
  <c r="I385" i="1" s="1"/>
  <c r="J385" i="1" s="1"/>
  <c r="H386" i="1"/>
  <c r="I386" i="1" s="1"/>
  <c r="J386" i="1" s="1"/>
  <c r="H387" i="1"/>
  <c r="I387" i="1" s="1"/>
  <c r="J387" i="1" s="1"/>
  <c r="H2" i="1"/>
  <c r="I2" i="1" s="1"/>
  <c r="J2" i="1" s="1"/>
  <c r="I305" i="1"/>
  <c r="J305" i="1" s="1"/>
  <c r="I23" i="1"/>
  <c r="J23" i="1" s="1"/>
  <c r="I34" i="1"/>
  <c r="J34" i="1" s="1"/>
  <c r="I43" i="1"/>
  <c r="J43" i="1" s="1"/>
  <c r="I44" i="1"/>
  <c r="J44" i="1" s="1"/>
  <c r="I53" i="1"/>
  <c r="J53" i="1" s="1"/>
  <c r="I54" i="1"/>
  <c r="J54" i="1" s="1"/>
  <c r="I65" i="1"/>
  <c r="J65" i="1" s="1"/>
  <c r="I73" i="1"/>
  <c r="J73" i="1" s="1"/>
  <c r="I85" i="1"/>
  <c r="J85" i="1" s="1"/>
  <c r="I93" i="1"/>
  <c r="J93" i="1" s="1"/>
  <c r="I94" i="1"/>
  <c r="J94" i="1" s="1"/>
  <c r="I125" i="1"/>
  <c r="J125" i="1" s="1"/>
  <c r="I135" i="1"/>
  <c r="J135" i="1" s="1"/>
  <c r="I3" i="1"/>
  <c r="J3" i="1" s="1"/>
  <c r="I5" i="1"/>
  <c r="J5" i="1" s="1"/>
  <c r="I13" i="1"/>
  <c r="J13" i="1" s="1"/>
  <c r="I15" i="1"/>
  <c r="J15" i="1" s="1"/>
  <c r="I25" i="1"/>
  <c r="J25" i="1" s="1"/>
  <c r="I33" i="1"/>
  <c r="J33" i="1" s="1"/>
  <c r="I45" i="1"/>
  <c r="J45" i="1" s="1"/>
  <c r="I63" i="1"/>
  <c r="J63" i="1" s="1"/>
  <c r="I74" i="1"/>
  <c r="J74" i="1" s="1"/>
  <c r="I83" i="1"/>
  <c r="J83" i="1" s="1"/>
  <c r="I103" i="1"/>
  <c r="J103" i="1" s="1"/>
  <c r="I185" i="1"/>
  <c r="J185" i="1" s="1"/>
  <c r="K106" i="1"/>
  <c r="K107" i="1"/>
  <c r="L109" i="1" s="1"/>
  <c r="K108" i="1"/>
  <c r="L110" i="1" s="1"/>
  <c r="K109" i="1"/>
  <c r="L111" i="1" s="1"/>
  <c r="K110" i="1"/>
  <c r="L112" i="1" s="1"/>
  <c r="M112" i="1" s="1"/>
  <c r="G110" i="1" s="1"/>
  <c r="K111" i="1"/>
  <c r="K112" i="1"/>
  <c r="L114" i="1" s="1"/>
  <c r="K113" i="1"/>
  <c r="L115" i="1" s="1"/>
  <c r="M115" i="1" s="1"/>
  <c r="G113" i="1" s="1"/>
  <c r="K114" i="1"/>
  <c r="K115" i="1"/>
  <c r="G115" i="1" s="1"/>
  <c r="K105" i="1"/>
  <c r="L107" i="1" s="1"/>
  <c r="M107" i="1" s="1"/>
  <c r="G105" i="1" s="1"/>
  <c r="I113" i="1"/>
  <c r="J113" i="1" s="1"/>
  <c r="I24" i="1"/>
  <c r="J24" i="1" s="1"/>
  <c r="I75" i="1"/>
  <c r="J75" i="1" s="1"/>
  <c r="I4" i="1"/>
  <c r="J4" i="1" s="1"/>
  <c r="J357" i="1" l="1"/>
  <c r="J353" i="1"/>
  <c r="J369" i="1"/>
  <c r="M111" i="1"/>
  <c r="G109" i="1" s="1"/>
  <c r="M110" i="1"/>
  <c r="G108" i="1" s="1"/>
  <c r="M114" i="1"/>
  <c r="G112" i="1" s="1"/>
  <c r="M109" i="1"/>
  <c r="G107" i="1" s="1"/>
  <c r="G114" i="1"/>
  <c r="L113" i="1"/>
  <c r="M113" i="1" s="1"/>
  <c r="G111" i="1" s="1"/>
  <c r="L108" i="1"/>
  <c r="M108" i="1" s="1"/>
  <c r="G106" i="1" s="1"/>
</calcChain>
</file>

<file path=xl/sharedStrings.xml><?xml version="1.0" encoding="utf-8"?>
<sst xmlns="http://schemas.openxmlformats.org/spreadsheetml/2006/main" count="1393" uniqueCount="856">
  <si>
    <t>QUALID</t>
  </si>
  <si>
    <t>PILA GASOLINA HAMMER SILVERADO 03/07 PATA DE ELEFANTE</t>
  </si>
  <si>
    <t>CHR1540MLT</t>
  </si>
  <si>
    <t>QL-9814</t>
  </si>
  <si>
    <t>OIL STONE</t>
  </si>
  <si>
    <t>KK-18777</t>
  </si>
  <si>
    <t>SHELL</t>
  </si>
  <si>
    <t>E2158-HAM</t>
  </si>
  <si>
    <t>AL-20004</t>
  </si>
  <si>
    <t>ROYAL</t>
  </si>
  <si>
    <t>10W30 SEMI SINTETICO LT</t>
  </si>
  <si>
    <t>ACEITE HIDROMATICO DEXROM 3 BRAVA LITRO</t>
  </si>
  <si>
    <t>OV1540SLT</t>
  </si>
  <si>
    <t>ACEITE 20W50 SEMI SINTETICO</t>
  </si>
  <si>
    <t>KK-8069</t>
  </si>
  <si>
    <t>KF-0619</t>
  </si>
  <si>
    <t>15W40 ACEITE PAILA SHELL RIMULA 1x20 LT</t>
  </si>
  <si>
    <t>STREFROJO</t>
  </si>
  <si>
    <t>FILTRO ACEITE SIERRA/CHEROKEE/FIAT UNO</t>
  </si>
  <si>
    <t>20W50-1</t>
  </si>
  <si>
    <t>SHELL ADVANCE 4T AX5 20W50</t>
  </si>
  <si>
    <t>BVELEVADOR</t>
  </si>
  <si>
    <t>KK-87402</t>
  </si>
  <si>
    <t>RADIATOR STOP LEAK / TAPA FUGAS RADIADOR</t>
  </si>
  <si>
    <t>SKY2050MGL</t>
  </si>
  <si>
    <t>ROSHPACK HI-ENERGY SL 20W50 MINERAL GL</t>
  </si>
  <si>
    <t>QL-3600</t>
  </si>
  <si>
    <t>WY81610</t>
  </si>
  <si>
    <t>ACEITE DEXROM HIDRAULICO 3 A GRANEL</t>
  </si>
  <si>
    <t>WY19601</t>
  </si>
  <si>
    <t>WY65218</t>
  </si>
  <si>
    <t>SKY</t>
  </si>
  <si>
    <t>WY81611</t>
  </si>
  <si>
    <t>WPH-2010</t>
  </si>
  <si>
    <t>FILTRO DE ACEITE TOY. RORAIMA, TRUNDA, SEQUOIA</t>
  </si>
  <si>
    <t>FILTRO DE ACEITE CHEVROLET GRAND BLAZER / 2WD / 4WD / C-1500 / C30 / C3500 / GMC YUKON</t>
  </si>
  <si>
    <t>PILA GASOLINA HAMMER ECO SPORT / FORTALEZA</t>
  </si>
  <si>
    <t>WY64518</t>
  </si>
  <si>
    <t>FILTRO ACEITE TOYOTA COROLLA 09/-</t>
  </si>
  <si>
    <t>FILTRO ACEITE HYUNDAI ACCENT, TUCSON</t>
  </si>
  <si>
    <t>SEN9948</t>
  </si>
  <si>
    <t>ML-3600</t>
  </si>
  <si>
    <t>SH1540MGL</t>
  </si>
  <si>
    <t>FILTRO ACEITE CHERY ORINOCO (ML-53597)</t>
  </si>
  <si>
    <t>WI - 51040</t>
  </si>
  <si>
    <t>CHR4T</t>
  </si>
  <si>
    <t>OS4T</t>
  </si>
  <si>
    <t>MOTOR CLEANER / LAVADO INTERNO DE MOTOR (MOTOR FLUSH)</t>
  </si>
  <si>
    <t>AL-3600</t>
  </si>
  <si>
    <t>AL-4558</t>
  </si>
  <si>
    <t>KK-9902</t>
  </si>
  <si>
    <t>OV1540MLT</t>
  </si>
  <si>
    <t>AMBIENTADORES PINITOS AROMA A COCONUT LITTLE TREES</t>
  </si>
  <si>
    <t>H&amp;H</t>
  </si>
  <si>
    <t>FILTRO ACEITE LANCER, KIA RIO</t>
  </si>
  <si>
    <t>DISEL 50 LT</t>
  </si>
  <si>
    <t>FILTRO DE ACEITE CHERY ORINOCO, ARAUCA, X1 TIGGO, QQ, TIUNA, X5</t>
  </si>
  <si>
    <t>ELEVADOR DE OCTANAJE BOOSTER</t>
  </si>
  <si>
    <t>WI - 51334</t>
  </si>
  <si>
    <t>MG2050AG</t>
  </si>
  <si>
    <t>AMLITLIQGV</t>
  </si>
  <si>
    <t>10W30 SEMISINTETICO LT</t>
  </si>
  <si>
    <t>AF-F-GI-024</t>
  </si>
  <si>
    <t>AF-45724</t>
  </si>
  <si>
    <t>SEMI SINTETICO 20W50 HAMMER GL</t>
  </si>
  <si>
    <t>FILTRO ACEITE FORD MUSTANG, BRONCO, EXPLORER, PICK U0P</t>
  </si>
  <si>
    <t>LIGA DE FRENOS DOT 3 946 CC</t>
  </si>
  <si>
    <t>AL-96796</t>
  </si>
  <si>
    <t>IN2050SLT</t>
  </si>
  <si>
    <t>AMBIENTADORES PINITOS AROMA A PIÑA COLADA LITTLE TREES</t>
  </si>
  <si>
    <t>CEP-W20</t>
  </si>
  <si>
    <t>AG2050MLT</t>
  </si>
  <si>
    <t>LIMPIADOR DE SISTEMA DE COMBUSTIBLE 300ML</t>
  </si>
  <si>
    <t>MOBIL</t>
  </si>
  <si>
    <t>WY62213</t>
  </si>
  <si>
    <t>ACEITE SEMINTETICO 15W40 VALVOLINE LITRO</t>
  </si>
  <si>
    <t>DA2050SLT</t>
  </si>
  <si>
    <t>ROY1540MLT</t>
  </si>
  <si>
    <t>LMV</t>
  </si>
  <si>
    <t>KK-8000</t>
  </si>
  <si>
    <t>ACDBUJIA8906</t>
  </si>
  <si>
    <t>FILTRO DE ACEITE CHEVROLET ORLANDO / ASTRA 2.2</t>
  </si>
  <si>
    <t>DEXROM VI LT</t>
  </si>
  <si>
    <t>ACEITE MINERAL 20W50 MOBIL LITRO</t>
  </si>
  <si>
    <t>ROYVAL8090</t>
  </si>
  <si>
    <t>FILTRO ACEITE CHEVROLET AVALANCHE 1500, CHEYNNE,CAPTIVA (3675)</t>
  </si>
  <si>
    <t>AK-1780</t>
  </si>
  <si>
    <t>MOTUL</t>
  </si>
  <si>
    <t>AL-14120</t>
  </si>
  <si>
    <t>SKY1540SLT</t>
  </si>
  <si>
    <t>BV2050MLT</t>
  </si>
  <si>
    <t>FILTRO ACEITE IBIZA/LEON/GOLF/BORA</t>
  </si>
  <si>
    <t>LITTLE 
TREES</t>
  </si>
  <si>
    <t>SH530FSLT</t>
  </si>
  <si>
    <t>WI - 51348</t>
  </si>
  <si>
    <t>FILTRO ACEITE CHEVROLET BLAZER, CELEBRITY, CORVETTE, CORSICA, IMPALA, LUMINA</t>
  </si>
  <si>
    <t>ML-6607</t>
  </si>
  <si>
    <t>FILTRO ACEITE COROLLA (4997)</t>
  </si>
  <si>
    <t>AMLITVA</t>
  </si>
  <si>
    <t>MOT1540SLT</t>
  </si>
  <si>
    <t>FILTRO ACEITE RENAULT CLIO GALA KANGOO TWINGO (ML5796)</t>
  </si>
  <si>
    <t>15W40 MINERAL GOLDEN LT</t>
  </si>
  <si>
    <t>HHDOT3G</t>
  </si>
  <si>
    <t>Costo Calculado</t>
  </si>
  <si>
    <t>ROS1540MLT</t>
  </si>
  <si>
    <t>FILTRO ACEITE JEEP, DODGE (ML-16)</t>
  </si>
  <si>
    <t>QA-9687</t>
  </si>
  <si>
    <t>GO2050SLT</t>
  </si>
  <si>
    <t>ACEITE DE MOTO 4 TIEMPO VALVOLINE</t>
  </si>
  <si>
    <t>WINNER</t>
  </si>
  <si>
    <t>FILTRO DE AIRE FIAT PALIO, SIENA</t>
  </si>
  <si>
    <t>HH-DOT4</t>
  </si>
  <si>
    <t>GRASA MARCKY GREASE LS-EP2 400 GR</t>
  </si>
  <si>
    <t>DENK16PR-U11</t>
  </si>
  <si>
    <t>SKY2050SGL</t>
  </si>
  <si>
    <t>ENGINE TUNE-UP / AFINADOR DE MOTOR</t>
  </si>
  <si>
    <t>WPH-2808</t>
  </si>
  <si>
    <t>SEN9992</t>
  </si>
  <si>
    <t>FILTRO AIRE RENAULT, CLIO, DUSTER, KANGOO,LAGUNA, MEGANE, SCENIC, SYMBOL (MK8964)</t>
  </si>
  <si>
    <t xml:space="preserve">FILTRO DE ACEITE CHEVROLET GMC </t>
  </si>
  <si>
    <t>QC-9292</t>
  </si>
  <si>
    <t>AF-1083</t>
  </si>
  <si>
    <t>LU2050MLT</t>
  </si>
  <si>
    <t>VM</t>
  </si>
  <si>
    <t>SUPERKOTE 2000 TRATAMIENTO PARA METAL 8OZ</t>
  </si>
  <si>
    <t xml:space="preserve">MOTOR FLUSH 443ML </t>
  </si>
  <si>
    <t>ML-9999</t>
  </si>
  <si>
    <t>SKY1540MLT</t>
  </si>
  <si>
    <t>AMLITVGRNC</t>
  </si>
  <si>
    <t>AK-9392</t>
  </si>
  <si>
    <t>AL-3593</t>
  </si>
  <si>
    <t>ACEITE DE DIRECCION HIDRAUILICA DAUER</t>
  </si>
  <si>
    <t>15W40S-4</t>
  </si>
  <si>
    <t>AMLITVGRBI</t>
  </si>
  <si>
    <t>KK-8208</t>
  </si>
  <si>
    <t>SKTM4OZ</t>
  </si>
  <si>
    <t>BORNE</t>
  </si>
  <si>
    <t>OV2050MGL</t>
  </si>
  <si>
    <t>10 - REPUESTOS</t>
  </si>
  <si>
    <t>MR-4967</t>
  </si>
  <si>
    <t>CHR1540SLT</t>
  </si>
  <si>
    <t>15W40S-2</t>
  </si>
  <si>
    <t>MEX2050MLT</t>
  </si>
  <si>
    <t>GON2050MLT</t>
  </si>
  <si>
    <t>ML-20004</t>
  </si>
  <si>
    <t>AL-933</t>
  </si>
  <si>
    <t>KK-13543</t>
  </si>
  <si>
    <t>AF-3521</t>
  </si>
  <si>
    <t>ML-3980</t>
  </si>
  <si>
    <t>CA2050MLT</t>
  </si>
  <si>
    <t>FILTRO ACEITE FIESTA, DAKOTA, FOCUS, ECO SPORT, FOCUS, CHEROKEE</t>
  </si>
  <si>
    <t>DADEX3</t>
  </si>
  <si>
    <t>FILTRO DE AIRE DE JEEP CHEROKEE 3.7 (2002-14) GRAN CHEROKEE 4.7 (2005-10)</t>
  </si>
  <si>
    <t>15W40 SEMI SINTETICO</t>
  </si>
  <si>
    <t>FILTRO ACEITE CHEVROLET SPARK, TERIOS, QQ</t>
  </si>
  <si>
    <t>MF-5870</t>
  </si>
  <si>
    <t>MC1030SLT</t>
  </si>
  <si>
    <t>AMBIENTADORES PINITOS AROMA A STRAWBERRY LITTLE TREES</t>
  </si>
  <si>
    <t>AL-8</t>
  </si>
  <si>
    <t>FILTRO ACEITE RENAULT MEGANE, CLIO</t>
  </si>
  <si>
    <t>MEX1540SLT</t>
  </si>
  <si>
    <t>PREFILTRO PILA GASOLINA 2068 TOYORA TERIOS, MITSUBISHI</t>
  </si>
  <si>
    <t>LIMPCAR01</t>
  </si>
  <si>
    <t>KK-110911</t>
  </si>
  <si>
    <t>FILTRO ACEITE HONDA ACCORD/ CIVIC/ LEGEND/ FIT/ DODGE BRISA/ LANCER (3593)</t>
  </si>
  <si>
    <t>VALVULINA 140 LT</t>
  </si>
  <si>
    <t>VA4T</t>
  </si>
  <si>
    <t>15W40 MINERAL LT</t>
  </si>
  <si>
    <t>FILTRO DE AIRE KIA RIO 1.5 / 1.3</t>
  </si>
  <si>
    <t>ACEITE DE MOTO 4 TIEMPO 15W50 SEMI SINTETICO MOTUL 5100</t>
  </si>
  <si>
    <t>VA1030SLT</t>
  </si>
  <si>
    <t>WY50807</t>
  </si>
  <si>
    <t>ML-2</t>
  </si>
  <si>
    <t>AL-16</t>
  </si>
  <si>
    <t>ACEITE SEMISINTETICO BRAVA LITRO</t>
  </si>
  <si>
    <t>ML-10060</t>
  </si>
  <si>
    <t>20W50 MINERAL LT</t>
  </si>
  <si>
    <t>WATERPOOL</t>
  </si>
  <si>
    <t>LIGAHYB01</t>
  </si>
  <si>
    <t>ACEITE PAILA SHELL RIMULA 50 1x20 LT</t>
  </si>
  <si>
    <t>FILTRO ACEITE LUV-DMAX, SENTRA BL13/14 (ML-3682)</t>
  </si>
  <si>
    <t>KL-53597</t>
  </si>
  <si>
    <t>FILTRO ACEITE KIA SEDONA, OPTIMA, SORENTO, AMANTI, HYINDAI, SANTA FE, SONATA, AZERA, VERACRUZ.</t>
  </si>
  <si>
    <t>FILTRO ACEITE CHVROLET LUVDMAX, HONDA, ACCORD, CIVIC, TUCSON</t>
  </si>
  <si>
    <t>FILTRO DE AIRE DE ARAUCA</t>
  </si>
  <si>
    <t>VALVOLINE</t>
  </si>
  <si>
    <t>KEYSTONE</t>
  </si>
  <si>
    <t>SH1030SLT</t>
  </si>
  <si>
    <t>20W50-5</t>
  </si>
  <si>
    <t>KL-4967</t>
  </si>
  <si>
    <t>FILTRO DE AIRE HYUNDAY ELANTRA 2.0 / 2002-2012</t>
  </si>
  <si>
    <t>KK-5627</t>
  </si>
  <si>
    <t>ACEITE DIESEL 50 A GRANEL</t>
  </si>
  <si>
    <t>QL-4967</t>
  </si>
  <si>
    <t>CHR2050MLT</t>
  </si>
  <si>
    <t>MF-1083</t>
  </si>
  <si>
    <t>ACEITE MINERAL 20W50 AMUAY PAILA VENTA POR LITRO</t>
  </si>
  <si>
    <t>15W40 MINERAL GL</t>
  </si>
  <si>
    <t>FILTRO ACEITE 4RUNNER/HILUX/STEEM/NEON</t>
  </si>
  <si>
    <t>FILTRO ACEITE TOY. HILUX/PRADO/LAND CRUISER</t>
  </si>
  <si>
    <t>KL-20004</t>
  </si>
  <si>
    <t>20W50 MINERAL LITRO</t>
  </si>
  <si>
    <t>QL-5113</t>
  </si>
  <si>
    <t>MCMERV</t>
  </si>
  <si>
    <t>QL-13</t>
  </si>
  <si>
    <t>FILTRO ACEITE CHEVROLET 8 CIL</t>
  </si>
  <si>
    <t>FILTRO COMBUSTIBLE CHEVROLET CORSA, LUV D-MAX, MERIVA</t>
  </si>
  <si>
    <t>PREMIUM OIL SYSTEM CLEANER / LIMPIADOR PREMIUM DELSISTEMA DE ACEITE</t>
  </si>
  <si>
    <t>UL2050SLT</t>
  </si>
  <si>
    <t>ROS4T</t>
  </si>
  <si>
    <t>STDOT3</t>
  </si>
  <si>
    <t>MR-9437</t>
  </si>
  <si>
    <t>AF-1410</t>
  </si>
  <si>
    <t>VM-51045</t>
  </si>
  <si>
    <t>WI - 51394</t>
  </si>
  <si>
    <t>SENFINECO</t>
  </si>
  <si>
    <t>FILTRO ACEITE MEGANE/TWINGO/TRITON</t>
  </si>
  <si>
    <t>DA1540SLT</t>
  </si>
  <si>
    <t>FILTRO ACEITE FIESTA, FOCUS</t>
  </si>
  <si>
    <t>AL-5885</t>
  </si>
  <si>
    <t>QL-3387</t>
  </si>
  <si>
    <t>FILTRO ACEITE TOYOTA 4 RUNNER, FORTUNER, HILUX KAVAK (ML-20004)</t>
  </si>
  <si>
    <t>15W40 SEMI SINTETICO GL</t>
  </si>
  <si>
    <t>KK-7775</t>
  </si>
  <si>
    <t>QL-8</t>
  </si>
  <si>
    <t>AMBIENTADORES VENT LIQUID AROMA CARIBEAN COLADA  LITTLE TREES</t>
  </si>
  <si>
    <t>08 - FILTROS DE ACEITE</t>
  </si>
  <si>
    <t>5W30 FULL SINTETICO LT</t>
  </si>
  <si>
    <t>SEN9993</t>
  </si>
  <si>
    <t>PREFILTRO PILA GASOLINA MU1309 SILVERADO 03-07 TAHOE</t>
  </si>
  <si>
    <t>LUBRICANTE ANTIOXIDANTE</t>
  </si>
  <si>
    <t>20W50-6</t>
  </si>
  <si>
    <t>E2068/HAM</t>
  </si>
  <si>
    <t>FILTRO DE AIRE FORD ECOSPORT 1.6 / FIESTA POWER 1.6</t>
  </si>
  <si>
    <t>MF-9305</t>
  </si>
  <si>
    <t>FILTRO ACEITE PEUGEOT 206,207,307,408/ CENTAURO 1.6/ DONGFENG S30</t>
  </si>
  <si>
    <t>WPH-5907</t>
  </si>
  <si>
    <t>AL-5548</t>
  </si>
  <si>
    <t>FILTRO ACEITE AVALANCHE/CAPTIVA/COLORADO/BLAZER</t>
  </si>
  <si>
    <t>FILTRO COMBUSTIBLE FORD FIESTA, ECOSPORT</t>
  </si>
  <si>
    <t>AL-13</t>
  </si>
  <si>
    <t>FILTRO ACEITE, LAND CRUISER, MACHO,BRONCO (ML-8)</t>
  </si>
  <si>
    <t>AF-9131</t>
  </si>
  <si>
    <t>WI - 51515</t>
  </si>
  <si>
    <t>ROSHFRANS HI-ENERGY SL 20W50 MINERAL LITRO</t>
  </si>
  <si>
    <t>WPH-2827</t>
  </si>
  <si>
    <t>QL-6607</t>
  </si>
  <si>
    <t>LU1540SLT</t>
  </si>
  <si>
    <t>FILTRO ACEITE PALIO/SIENA/MAREA/FORZA</t>
  </si>
  <si>
    <t>FILTRO ACEITE FORD F-450/EXPLORER</t>
  </si>
  <si>
    <t>KF-1410</t>
  </si>
  <si>
    <t>SH1540MLT</t>
  </si>
  <si>
    <t>ML-5796</t>
  </si>
  <si>
    <t>V-LAND</t>
  </si>
  <si>
    <t>DENPK16TT</t>
  </si>
  <si>
    <t>ACEITE CVT DAUER  CAJA AUTOMATICA</t>
  </si>
  <si>
    <t>SEN9991</t>
  </si>
  <si>
    <t>LIGA DE FRENOS DOT 4 946 CC</t>
  </si>
  <si>
    <t>CEPILLO 16"</t>
  </si>
  <si>
    <t>Código</t>
  </si>
  <si>
    <t>SH4T2050</t>
  </si>
  <si>
    <t>QL-4558</t>
  </si>
  <si>
    <t>FILTRO ACEITE AVEO/OPTRA/CIELO/CORSA</t>
  </si>
  <si>
    <t>ROS2050RMLT</t>
  </si>
  <si>
    <t>CEPILLO 18"</t>
  </si>
  <si>
    <t>PILA GAS HAMMER / YARIS / HILUX</t>
  </si>
  <si>
    <t>LIGA DE FRENO DOT 4 355ML</t>
  </si>
  <si>
    <t>VA1030SGL</t>
  </si>
  <si>
    <t>ROSHFRANS RUN-PWR 20W50 MINERAL LITRO</t>
  </si>
  <si>
    <t>AL-5949</t>
  </si>
  <si>
    <t>ML-4967</t>
  </si>
  <si>
    <t>FILTRO DE AIRE GRAN VITARA</t>
  </si>
  <si>
    <t>MG-SLCN</t>
  </si>
  <si>
    <t xml:space="preserve">LIGA DE FRENOS DOT 3 290ML </t>
  </si>
  <si>
    <t>ULTRALUB</t>
  </si>
  <si>
    <t>VALVULINA 80W90 V-LAND LITRO</t>
  </si>
  <si>
    <t>FILTRO DE AIRE FORD EXPLORER 4.0 (1997-2000), FORD RANGER (1991-2011)</t>
  </si>
  <si>
    <t>MF-4132</t>
  </si>
  <si>
    <t>STPELEVADOR</t>
  </si>
  <si>
    <t>KL-4558</t>
  </si>
  <si>
    <t>MF-1036</t>
  </si>
  <si>
    <t>E2068-CARBON</t>
  </si>
  <si>
    <t>HHDOT4G</t>
  </si>
  <si>
    <t>ROSHFRANS RUN-PWR 15W40 MINERAL LITRO</t>
  </si>
  <si>
    <t>OS2560MLT</t>
  </si>
  <si>
    <t xml:space="preserve">FILTRO ACEITE FIAT BRAVA, PALIO, PREMIO, SIENA, UNO, FORZA. </t>
  </si>
  <si>
    <t>REFRIGERANTE ACDELCO 100% CONCENTRADO</t>
  </si>
  <si>
    <t>VA1540SLT</t>
  </si>
  <si>
    <t>ML-3807</t>
  </si>
  <si>
    <t>WYNNS</t>
  </si>
  <si>
    <t>FILTRO DE ACEITE ARAUCA</t>
  </si>
  <si>
    <t>PILA GAS HAMMER UNIVERSAL E2068</t>
  </si>
  <si>
    <t xml:space="preserve">PILA GASOLINA HAMMER EXPLORER / FORTALEZA / FIESTA / FOCUS </t>
  </si>
  <si>
    <t>MOPAR</t>
  </si>
  <si>
    <t>FILTRO ACEITE AVEO, CORSA, OPTRA</t>
  </si>
  <si>
    <t>LIMPIADOR DE CARBURADOR 650ML</t>
  </si>
  <si>
    <t>FILTRO ACEITE TAHOE, AVALANCHE, SILVERADO, TRAIL BLAZER</t>
  </si>
  <si>
    <t>QL-10060</t>
  </si>
  <si>
    <t>DA1540SGL</t>
  </si>
  <si>
    <t>LIMPIA CARBURADOR KDENCO 400 ML</t>
  </si>
  <si>
    <t>KF-9292</t>
  </si>
  <si>
    <t>LIMPIA CONTACTO 450 ML</t>
  </si>
  <si>
    <t>SH2050MLT</t>
  </si>
  <si>
    <t>ACEITE DE MOTO 4 TIEMPO 20W50 MINERAL LUBRIKON</t>
  </si>
  <si>
    <t>IN2050MLT</t>
  </si>
  <si>
    <t>FILTRO AIRE CHEVROLET, CHEVY, CORSA (MK5496)</t>
  </si>
  <si>
    <t>LU4T2050M</t>
  </si>
  <si>
    <t>Marca</t>
  </si>
  <si>
    <t>PFI</t>
  </si>
  <si>
    <t>ROSHFRANS MOTONIC 4T 20W50</t>
  </si>
  <si>
    <t>BUJIA TOYOTA MERU/ OPTRA LIMITED 2 ELECTRODOS</t>
  </si>
  <si>
    <t>MC520SLT</t>
  </si>
  <si>
    <t>FILTRO ACEITE CHERY ORINOCO</t>
  </si>
  <si>
    <t>REFRIGERANTE ROJO STRON</t>
  </si>
  <si>
    <t>POWER-ST</t>
  </si>
  <si>
    <t>SHRI50</t>
  </si>
  <si>
    <t>ROS1540SLT</t>
  </si>
  <si>
    <t>FILTRO COMBUSTIBLE FORD EXPLORER, RANGER, EXPEDITION, FOCUS</t>
  </si>
  <si>
    <t xml:space="preserve">LIMPIA CARBURADOR  </t>
  </si>
  <si>
    <t>FILTRO DE GASOLINA DE BLAZER, CHEYENNE</t>
  </si>
  <si>
    <t>DENSO</t>
  </si>
  <si>
    <t>20W50S-1</t>
  </si>
  <si>
    <t>20W50 SEMI SINTETICO LT</t>
  </si>
  <si>
    <t>MF-1410</t>
  </si>
  <si>
    <t>QL-5103</t>
  </si>
  <si>
    <t>WI - 51393</t>
  </si>
  <si>
    <t>IN2050MGL</t>
  </si>
  <si>
    <t>25W60 MINERAL LT</t>
  </si>
  <si>
    <t>FILTRO DE AIRE HYUNDAI GETZ, DODGE BRISA</t>
  </si>
  <si>
    <t>FILTRO DE ACEITE RENAULT TWINGO ELEMENTO</t>
  </si>
  <si>
    <t>SEN9986</t>
  </si>
  <si>
    <t>SEMISINTETICO 15W40 HAMMER GALON</t>
  </si>
  <si>
    <t>FILTRO COMBUSTIBLE FORD EXPLORER, SPORT TRACK, F-150, TRITON</t>
  </si>
  <si>
    <t>15W40S-3</t>
  </si>
  <si>
    <t>10W30 SEMI SINTETICO GL</t>
  </si>
  <si>
    <t>FILTRO DE GASOLINA COROLLA 1.6</t>
  </si>
  <si>
    <t>AL-3614</t>
  </si>
  <si>
    <t>FILTRO DE ACEITE CHEVROLET CRUZE</t>
  </si>
  <si>
    <t>DEX3-1</t>
  </si>
  <si>
    <t>KK-5466</t>
  </si>
  <si>
    <t>DA1540MLT</t>
  </si>
  <si>
    <t>OS2050MLT</t>
  </si>
  <si>
    <t>AKSU</t>
  </si>
  <si>
    <t xml:space="preserve">FILTRO DE AIRE HYUNDAI  ACCENT 1.5 </t>
  </si>
  <si>
    <t>FILTRO ACEITE LANSER/HONDA/TUCSON/CENTAURO</t>
  </si>
  <si>
    <t>MF-800</t>
  </si>
  <si>
    <t xml:space="preserve">AMBIENTADORES VENT LIQUID AROMA GOLDEN VAINILLA LITTLE TREES </t>
  </si>
  <si>
    <t>PF-MU1309</t>
  </si>
  <si>
    <t>AL-4967</t>
  </si>
  <si>
    <t>FILTRO ACEITE TOYOTA 4 RUNNER, FORTUNER, HILUX KAVAK</t>
  </si>
  <si>
    <t>4 TIEMPOS LT</t>
  </si>
  <si>
    <t>DENK20PR-U11</t>
  </si>
  <si>
    <t>BUJIA ELANTRA 2.0/ GETZ 1.6/ RIO/ SPORTAGE/ SENTRA 1.6/ COROLLA</t>
  </si>
  <si>
    <t>KL-13</t>
  </si>
  <si>
    <t>FILTRO ACEITE LANCER, KIA RIO (ML-3593)</t>
  </si>
  <si>
    <t>10W40 SEMISINTETICO LT</t>
  </si>
  <si>
    <t>AK-95334</t>
  </si>
  <si>
    <t>FILTRO AIRE CHERY, ARAUCA A1 4L 1.3Lts DOHC 16V 4L 2012-2014 (MK13543)</t>
  </si>
  <si>
    <t>20W50-4</t>
  </si>
  <si>
    <t>A01175-CARB-HAM</t>
  </si>
  <si>
    <t>GRASAMAR</t>
  </si>
  <si>
    <t>REFRI-1</t>
  </si>
  <si>
    <t>FILTRO DE AIRE FORD EXPEDITION EDDIE PICK-UP F SERIES SUPER DUTY (TODOS)</t>
  </si>
  <si>
    <t>MRDOT4</t>
  </si>
  <si>
    <t>AL-5566</t>
  </si>
  <si>
    <t>BVDEX6</t>
  </si>
  <si>
    <t>Dpto. Descrip.</t>
  </si>
  <si>
    <t>MB1030SLT</t>
  </si>
  <si>
    <t>ROS2050MLT</t>
  </si>
  <si>
    <t>ACDBUJIA1937</t>
  </si>
  <si>
    <t>BUJIA R4XLS CORSA/ CHEVY/ MERIVA</t>
  </si>
  <si>
    <t>FILTRO COMBUSTIBLE FORD EXPLORER, RANGER, F150</t>
  </si>
  <si>
    <t>HAM2050MLT</t>
  </si>
  <si>
    <t>AL-5552</t>
  </si>
  <si>
    <t>WPH-561</t>
  </si>
  <si>
    <t>VA2050SGL</t>
  </si>
  <si>
    <t>MF-619</t>
  </si>
  <si>
    <t>FILTRO DE AIRE TERIOS</t>
  </si>
  <si>
    <t>FILTRO ACEITE JEEP CHEROKEE, LIBERTY, GRAND CHEROKEE</t>
  </si>
  <si>
    <t>ACEITE MINERAL 20W50 OILSTONE LITRO</t>
  </si>
  <si>
    <t>MF-5857</t>
  </si>
  <si>
    <t>MC530SLT</t>
  </si>
  <si>
    <t>FILTRO ACEITE A1 TAHOE/AVALANCHE/SILVERADO</t>
  </si>
  <si>
    <t>11 - FLUIDOS</t>
  </si>
  <si>
    <t>STOP SMOKE / ALTO AL HUMO</t>
  </si>
  <si>
    <t>SDK</t>
  </si>
  <si>
    <t>AL-3675</t>
  </si>
  <si>
    <t>FILTRO DE AIRE FORTUNER, HILUX, KAVAK, 4 RUNNER</t>
  </si>
  <si>
    <t>01 - ACEITES MINERALES</t>
  </si>
  <si>
    <t xml:space="preserve">QL-2 </t>
  </si>
  <si>
    <t>SKY2050MLT</t>
  </si>
  <si>
    <t>KK-2222</t>
  </si>
  <si>
    <t>VA1540MLT</t>
  </si>
  <si>
    <t>DIESEL-1</t>
  </si>
  <si>
    <t>FILTRO DE AIRE HYINDAI TUCSON, KIA SPORTAGE 2.0 / 2.7</t>
  </si>
  <si>
    <t>GOVAL8090</t>
  </si>
  <si>
    <t>OV2050SLT</t>
  </si>
  <si>
    <t>FILTRO DE AIRE CHEVROLET SPARK</t>
  </si>
  <si>
    <t>BUJIA COROLLA, AVEO, CLIO, KANGOO, MEGANE 3121</t>
  </si>
  <si>
    <t>05 - ACEITES HIDROMATICOS</t>
  </si>
  <si>
    <t>GO2050MLT</t>
  </si>
  <si>
    <t>FILTRO DE GASOLINA FIAT PALIO / DODGE FORZA</t>
  </si>
  <si>
    <t>PREFILTRO PILA GASOLINA 2157 STRAINER UNIVERSAL</t>
  </si>
  <si>
    <t>MK-9277</t>
  </si>
  <si>
    <t>ROSHFRANS RUN-PWR 15W40 SEMI SINTETICO LITRO</t>
  </si>
  <si>
    <t>SKY1540MGL</t>
  </si>
  <si>
    <t>OVDEX3</t>
  </si>
  <si>
    <t>KL-3593</t>
  </si>
  <si>
    <t>CEP-W18</t>
  </si>
  <si>
    <t>KL-3807</t>
  </si>
  <si>
    <t>ML-3593</t>
  </si>
  <si>
    <t>ML-53597</t>
  </si>
  <si>
    <t xml:space="preserve">AMBIENTADORES PINITOS AROMA A VAINILLA LITTLE TREES </t>
  </si>
  <si>
    <t>FILTRO AIRE CHEVROLET, OPTRA (MK8732)</t>
  </si>
  <si>
    <t>HM-SLCN</t>
  </si>
  <si>
    <t>AMBIENTADORES VENT WRAP AROMA NEW CAR LITTLE TREES</t>
  </si>
  <si>
    <t xml:space="preserve">LIGA DE FRENOS DOT 3 946ML </t>
  </si>
  <si>
    <t>FILTRO DE AIRE AVEO</t>
  </si>
  <si>
    <t>10W40 SEMI SINTETICO LT</t>
  </si>
  <si>
    <t>VA2050MLT</t>
  </si>
  <si>
    <t>VALVULINA 75W90 SINTETICA LT</t>
  </si>
  <si>
    <t>MOGULF</t>
  </si>
  <si>
    <t>AL-3980</t>
  </si>
  <si>
    <t>QL-9641</t>
  </si>
  <si>
    <t>ACEITE SEMI SINTETICO LT MOTORCRAFT</t>
  </si>
  <si>
    <t>LIMPIADOR DE CONTACTOS</t>
  </si>
  <si>
    <t>OILVEN</t>
  </si>
  <si>
    <t>VAL-2</t>
  </si>
  <si>
    <t>WIX</t>
  </si>
  <si>
    <t>MB2050MLT</t>
  </si>
  <si>
    <t>DENK16TR11</t>
  </si>
  <si>
    <t>AL-10060</t>
  </si>
  <si>
    <t>WPH-500</t>
  </si>
  <si>
    <t>DENW20EP-U</t>
  </si>
  <si>
    <t>AL-1012010</t>
  </si>
  <si>
    <t>GON1540SLT</t>
  </si>
  <si>
    <t>09 - ACCESORIOS</t>
  </si>
  <si>
    <t>F. ACEITE BLAZER 6 CIL/ CHEYENNE</t>
  </si>
  <si>
    <t>BV1540SLT</t>
  </si>
  <si>
    <t>AF-8956</t>
  </si>
  <si>
    <t>CEPILLO 19"</t>
  </si>
  <si>
    <t>CEP-W19</t>
  </si>
  <si>
    <t>15W40 SEMI SINTETICO GOLDEN LT</t>
  </si>
  <si>
    <t>ACEITE 20W50 MINERAL A GRANEL</t>
  </si>
  <si>
    <t>MF-9292</t>
  </si>
  <si>
    <t>DADEX6</t>
  </si>
  <si>
    <t>ROS2050MGL</t>
  </si>
  <si>
    <t>KF-0481</t>
  </si>
  <si>
    <t>HAM2050SLT</t>
  </si>
  <si>
    <t>FILTRO ACEITE FORD MUSTANG, BRONCO, EXPLORER, PICKU0P (QL-8)</t>
  </si>
  <si>
    <t>FILTRO DE AIRE COROLLA 1.6 / 1.8 (1999-2002)</t>
  </si>
  <si>
    <t>ACEITE 4 TIEMPOS LT OIL STONE</t>
  </si>
  <si>
    <t>DA2050MGL</t>
  </si>
  <si>
    <t>AREON</t>
  </si>
  <si>
    <t>TRANSMISSION STOP LEAK / TAPA FUGAS DE TRANSMISION</t>
  </si>
  <si>
    <t>BOR-AUTO</t>
  </si>
  <si>
    <t>FILTRO DE GASOLINA FIAT PALIO</t>
  </si>
  <si>
    <t>STRON</t>
  </si>
  <si>
    <t>VA2050MGL</t>
  </si>
  <si>
    <t>PILA GASOLINA HAMMER UNIVERSAL EXTERNA E8012</t>
  </si>
  <si>
    <t>VS-MOTOR</t>
  </si>
  <si>
    <t>PF-UNI</t>
  </si>
  <si>
    <t>SEN9938</t>
  </si>
  <si>
    <t>ACEITE SEMI SINTETICO 5W30 LT MOTORCRAFT</t>
  </si>
  <si>
    <t>DAUER</t>
  </si>
  <si>
    <t>KL-9018</t>
  </si>
  <si>
    <t>FILTRO ACEITE JEEP, DODGE</t>
  </si>
  <si>
    <t>DENK20PR-U</t>
  </si>
  <si>
    <t>AC2050MLT</t>
  </si>
  <si>
    <t>Existencia Actual</t>
  </si>
  <si>
    <t>ROY2050MLT</t>
  </si>
  <si>
    <t>DACVT</t>
  </si>
  <si>
    <t>DA2050SGL</t>
  </si>
  <si>
    <t>FILTRO COMBUSTIBLE CHERY ORINOCO</t>
  </si>
  <si>
    <t>CA1040SLT</t>
  </si>
  <si>
    <t xml:space="preserve">AMBIENTADORES PINITOS AROMA A NEW CAR LITTLE TREES </t>
  </si>
  <si>
    <t>FILTRO DE ACEITE VW GOLF 07, JETTA, PASSAT</t>
  </si>
  <si>
    <t>FILTRO ACEITE FORD KA, LASER, MAZDA 626 PICANTO</t>
  </si>
  <si>
    <t>BRAVA</t>
  </si>
  <si>
    <t>CEP-W22</t>
  </si>
  <si>
    <t>ACVAL8090</t>
  </si>
  <si>
    <t>GONHER</t>
  </si>
  <si>
    <t>AF-5857</t>
  </si>
  <si>
    <t>SKY4T2050</t>
  </si>
  <si>
    <t>E2157-HAM</t>
  </si>
  <si>
    <t/>
  </si>
  <si>
    <t>FILTRO DE ACEITE HILUX FORTUNER 4RUNNER</t>
  </si>
  <si>
    <t>FILTRO ACEITE HYUNDAI ACCENT, TUCSON (ML-3807)</t>
  </si>
  <si>
    <t>CEP-W21</t>
  </si>
  <si>
    <t>FILTRO DE AIRE FORD EXPLORER EDDIE BAUER</t>
  </si>
  <si>
    <t>BV1540SGL</t>
  </si>
  <si>
    <t>CA2050SLT</t>
  </si>
  <si>
    <t>BV2050MGL</t>
  </si>
  <si>
    <t>FILTRO ACEITE HONDA/HYUNDAI/FESTIVA</t>
  </si>
  <si>
    <t>SH1040SLT</t>
  </si>
  <si>
    <t>FILTRO ACEITE DODGE INTREPID/PICK UP RAM2500/ SPIRIT/ STRATUS/ CARAVAN</t>
  </si>
  <si>
    <t>SKY1540SGL</t>
  </si>
  <si>
    <t>MGDEX3AG</t>
  </si>
  <si>
    <t>FILTRO ACEITE BLAZER,  CAPRICE, CENTURY, IMPALA, LUMINA</t>
  </si>
  <si>
    <t>LMVREFROJO</t>
  </si>
  <si>
    <t>AMLITWC</t>
  </si>
  <si>
    <t>QC-2</t>
  </si>
  <si>
    <t>VALVULINA 85W140 MOGULF LITRO</t>
  </si>
  <si>
    <t>FILTRO DE AIRE DE GETZ</t>
  </si>
  <si>
    <t>FILTRO DE GASOLINA  DE AVEO, OPTRA</t>
  </si>
  <si>
    <t>20W50 SEMISINTETICO LT</t>
  </si>
  <si>
    <t>FILTRO AIRE KIA RIO</t>
  </si>
  <si>
    <t>SUPERKOTE</t>
  </si>
  <si>
    <t>FILTRO ACEITE FORD FIESTA (ML-3600)</t>
  </si>
  <si>
    <t>ML-3387</t>
  </si>
  <si>
    <t>CEP-W16</t>
  </si>
  <si>
    <t>AK-17801-11100</t>
  </si>
  <si>
    <t>DEXROM III LT</t>
  </si>
  <si>
    <t>REFRIGERANTE VERDE STRON</t>
  </si>
  <si>
    <t>UL1540SLT</t>
  </si>
  <si>
    <t>FILTRO ACEITE FORD  EXPLORER SPORT TRAK, EXPEDITION, F150, 250 Y 350, RANGER, MUSTANG, TAURUS, MAZDA B-4000, JEEP GRAN CHEROKEE</t>
  </si>
  <si>
    <t>AMLITLIQCC</t>
  </si>
  <si>
    <t>KK-9482</t>
  </si>
  <si>
    <t>OS1540MLT</t>
  </si>
  <si>
    <t>ACEITE PARA MOTOS 4 TIEMPOS OILSTONE LITRO</t>
  </si>
  <si>
    <t>KK-14641</t>
  </si>
  <si>
    <t>QL-5548</t>
  </si>
  <si>
    <t>BORNE AUTO PLOMO</t>
  </si>
  <si>
    <t>ACEITE MINERAL 20W50 BRAVA LITRO</t>
  </si>
  <si>
    <t>BVVAL8090</t>
  </si>
  <si>
    <t>VAL-1</t>
  </si>
  <si>
    <t>KL-6607</t>
  </si>
  <si>
    <t>20W50 SEMI SINTETICO GL</t>
  </si>
  <si>
    <t>FILTRO DE ACEITE FIAT PALIO, SIENA, UNO, PUNTO</t>
  </si>
  <si>
    <t>KL-3614</t>
  </si>
  <si>
    <t>MU1309-HAM</t>
  </si>
  <si>
    <t>20W50 SEMI SINTETICO GOLDEN LT</t>
  </si>
  <si>
    <t>MPATF+4</t>
  </si>
  <si>
    <t>LIMPIADOR DE CARBURADOR 400ML</t>
  </si>
  <si>
    <t>CEPILLO 22"</t>
  </si>
  <si>
    <t>FILTRO ACEITE CHEVROLET, LUV, DODGE, BRISA (Accent), BRISA (Getz), FORD FESTIVA, HYUNDAI, ACCENT, ELANTRA (ML3807)</t>
  </si>
  <si>
    <t>AMUAY GRANEL</t>
  </si>
  <si>
    <t>CEPILLO 14"</t>
  </si>
  <si>
    <t>FILTRO ACEITE TOYOTA HILUX, MERU</t>
  </si>
  <si>
    <t>AF-5010</t>
  </si>
  <si>
    <t>ACEITE SEMI SINTETICO 5W20 LT MOTORCRAFT</t>
  </si>
  <si>
    <t>PINOS</t>
  </si>
  <si>
    <t>ACEITE DE MOTO 4 TIEMPO 20W50 MINERAL MOTUL 3000</t>
  </si>
  <si>
    <t>VADEX3</t>
  </si>
  <si>
    <t>FILTRO ACEITE TOYOTA COROLLA</t>
  </si>
  <si>
    <t>FILTRO ACEITE V.W FOX/CROSSFOX/SPACE FOX</t>
  </si>
  <si>
    <t>FILTRO ACEITE FORD FIESTA</t>
  </si>
  <si>
    <t>FILTRO COMBUSTIBLE RENAULT MEGANE, LOGA, SYMBOL, TWINGO</t>
  </si>
  <si>
    <t>VA2050SLT</t>
  </si>
  <si>
    <t>AL-2C</t>
  </si>
  <si>
    <t>FILTRO ACEITE CHEVROLET ASTRA 2.0 LTS</t>
  </si>
  <si>
    <t>SEN9997</t>
  </si>
  <si>
    <t>BV2050SLT</t>
  </si>
  <si>
    <t>Porc Precio Maximo</t>
  </si>
  <si>
    <t>KK-19626</t>
  </si>
  <si>
    <t>GOVAL140</t>
  </si>
  <si>
    <t>06 - ACEITES DE MOTOS</t>
  </si>
  <si>
    <t>20W50-3</t>
  </si>
  <si>
    <t>PILA GASOLINA HAMMER P/YARIS/ HILUX CARBON COMPOTA</t>
  </si>
  <si>
    <t>MEGAGREY</t>
  </si>
  <si>
    <t>FILTRO ACEITE NISSAN TIDA, SENTRA, PATROL, FESTIVA, PICANTO (ML-6607)</t>
  </si>
  <si>
    <t>ML-3675</t>
  </si>
  <si>
    <t>ROY2050SLT</t>
  </si>
  <si>
    <t>WY61018</t>
  </si>
  <si>
    <t>FILTRO ACEITE FORD 6 Y 8 CIL TOYOTA</t>
  </si>
  <si>
    <t>SKTM8OZ</t>
  </si>
  <si>
    <t>LIGA DE FRENO DOT 4 290ML</t>
  </si>
  <si>
    <t>UL2050MLT</t>
  </si>
  <si>
    <t>KK-52045</t>
  </si>
  <si>
    <t>HAM1540MLT</t>
  </si>
  <si>
    <t>Precio Maximo</t>
  </si>
  <si>
    <t>AL-19626</t>
  </si>
  <si>
    <t>BUJIA CENTAURO/ TURPIAL/ DMAX/ FORZA/ NEON 3145</t>
  </si>
  <si>
    <t>FUEL INJECTOR CLEANER / LIMPIADOR DE INYECTORES 300ML</t>
  </si>
  <si>
    <t>SKY2050SLT</t>
  </si>
  <si>
    <t>WY64506</t>
  </si>
  <si>
    <t>KL-3387</t>
  </si>
  <si>
    <t>FILTRO ACEITE TWINGO 4L 1.2LTS MULTIPUNTO (96-00) (ML-5885)</t>
  </si>
  <si>
    <t>BV2050SGL</t>
  </si>
  <si>
    <t>DENT16P-U</t>
  </si>
  <si>
    <t>Q-40</t>
  </si>
  <si>
    <t>ACEITE 15W40 SEMI SINTETICO</t>
  </si>
  <si>
    <t>FILTRO ACEITE RENAULT MEGANE, CLIO (ML-5796)</t>
  </si>
  <si>
    <t>MGD50AG</t>
  </si>
  <si>
    <t>AMBIENTADORES VENT WRAP AROMA BLACK ICE LITTLE TREES</t>
  </si>
  <si>
    <t>J2REYCAMION-HAM</t>
  </si>
  <si>
    <t>AGD50LT</t>
  </si>
  <si>
    <t>20W50 MINERAL GOLDEN LT</t>
  </si>
  <si>
    <t>LUBRIKON</t>
  </si>
  <si>
    <t>VA1540MGL</t>
  </si>
  <si>
    <t>FILTRO ACEITE CHEVROLET AVALANCHE 1500, CHEYNNE,CAPTIVA</t>
  </si>
  <si>
    <t>KK-8732</t>
  </si>
  <si>
    <t>BUJIA MOTORES FORD/ CHEVROLET/ MOTORES V8 302/305</t>
  </si>
  <si>
    <t>4T-1</t>
  </si>
  <si>
    <t>CEPILLO 21"</t>
  </si>
  <si>
    <t>BUJIA  PLATINO TOYOTA , YARIS, AUTANA</t>
  </si>
  <si>
    <t>STP</t>
  </si>
  <si>
    <t>MEXLUB</t>
  </si>
  <si>
    <t>KK-8243</t>
  </si>
  <si>
    <t>LIGA DE FRENO DOT 3 290ML</t>
  </si>
  <si>
    <t>WI - 51085</t>
  </si>
  <si>
    <t>LIGA DE FRENOS HYBRID DOT 2 290ML</t>
  </si>
  <si>
    <t>ELEVADOR DE OCTANAJE BOOSTER 300ML</t>
  </si>
  <si>
    <t>REFRIGERANTE GL 50/50</t>
  </si>
  <si>
    <t>FILTRO ACEITE CHEV. CRUZE/SONIC/TRACKER</t>
  </si>
  <si>
    <t>DA2050MLT</t>
  </si>
  <si>
    <t>ACEITE MINERAL 20W50 SHELL LITRO</t>
  </si>
  <si>
    <t>ROSHFRANS RUN-PWR 20W50 SEMI SINTETICO LITRO</t>
  </si>
  <si>
    <t>04 - ACEITES DE TRANSMISION (AUT0MATICA Y SINCRONICA)</t>
  </si>
  <si>
    <t>AMLITPI</t>
  </si>
  <si>
    <t>MF-986</t>
  </si>
  <si>
    <t>FILTRO DE AIRE MITSUBISHI LANCER Y SIGNO</t>
  </si>
  <si>
    <t>WI - 51365</t>
  </si>
  <si>
    <t>ML-13</t>
  </si>
  <si>
    <t>FILTRO UNIVERSAL GASOLINA CARBURADO</t>
  </si>
  <si>
    <t>FILTRO ACEITE CHERY, ARAUCA, GRAND VITARA, WAGON R+,  CHRYSLER, NEON, DONGFENG (ML3614)</t>
  </si>
  <si>
    <t>BVVAL7590</t>
  </si>
  <si>
    <t xml:space="preserve">REFRIGERANTE QUALID 50/50 VERDE GALON </t>
  </si>
  <si>
    <t>LIGA PARA FRENOS FREEZING LT DOT 3</t>
  </si>
  <si>
    <t>SILICON MEGAGREY</t>
  </si>
  <si>
    <t>ML-16</t>
  </si>
  <si>
    <t>03 - ACEITES DIESEL</t>
  </si>
  <si>
    <t>A01175-HAM</t>
  </si>
  <si>
    <t>FILTRO COMBUSTIBLE AVALANCHE, TAHOE,SILVERADO, BLAZER</t>
  </si>
  <si>
    <t>ML-4997</t>
  </si>
  <si>
    <t>FILTRO ACEITE NISSAN TIDA, SENTRA, PATROL, FESTIVA, PICANTO</t>
  </si>
  <si>
    <t>LIGAFR01</t>
  </si>
  <si>
    <t>CEP-W14</t>
  </si>
  <si>
    <t>FILTRO DE COMBUSTIBLE KIA RIO 00/05 CERATO</t>
  </si>
  <si>
    <t>MARUSSI</t>
  </si>
  <si>
    <t>VALVULINA 80W90 LT</t>
  </si>
  <si>
    <t>SKYDEX3</t>
  </si>
  <si>
    <t>FILTRO ACEITE LANCER/RIO/PICANTO</t>
  </si>
  <si>
    <t>CEPILLO 20"</t>
  </si>
  <si>
    <t>FILTRO DE AIRE EXPLORER 3.5.(2011-14)</t>
  </si>
  <si>
    <t>BUJIA DE ENCENDIDO 41-602SA AVEO/DMAX</t>
  </si>
  <si>
    <t>FILTRO DE ACEITE MAZDA 2, 5 Y 6 (321)</t>
  </si>
  <si>
    <t>ACEITE SEMISINTETICO 10W40 SHELL LITRO</t>
  </si>
  <si>
    <t>FILTRO COMBUSTIBLE FIAT PALIO, SIENA</t>
  </si>
  <si>
    <t>Nombre</t>
  </si>
  <si>
    <t>MEX2050SLT</t>
  </si>
  <si>
    <t>MF-618</t>
  </si>
  <si>
    <t>AMLITNC</t>
  </si>
  <si>
    <t>15W4 SEMI SINTETICO LT</t>
  </si>
  <si>
    <t>AMLITST</t>
  </si>
  <si>
    <t>ROY1540SLT</t>
  </si>
  <si>
    <t>HAM2050SGL</t>
  </si>
  <si>
    <t>AMLITLIQNC</t>
  </si>
  <si>
    <t>07 - ADITIVOS</t>
  </si>
  <si>
    <t>WI - 51356</t>
  </si>
  <si>
    <t>SHRI1540</t>
  </si>
  <si>
    <t>HAM1540SGL</t>
  </si>
  <si>
    <t>AR-AM</t>
  </si>
  <si>
    <t>FILTRO AIRE DODGE, FORZA, FIAT,  SKY, PALIO, SIENA (MK5627)</t>
  </si>
  <si>
    <t>ACEITE 15W40 MINERAL</t>
  </si>
  <si>
    <t>MILLARD</t>
  </si>
  <si>
    <t>MOT4T</t>
  </si>
  <si>
    <t>KK-21050</t>
  </si>
  <si>
    <t>FILTRO AIRE DE OPTRA</t>
  </si>
  <si>
    <t>AUTOMATIC TRANSMISSION TREATMENT / TRATAMIENTO DE TRANSMISION AUTOMATICA</t>
  </si>
  <si>
    <t>FILTRO DE COMBUSTIBLE UNIVERSAL</t>
  </si>
  <si>
    <t>LU2050SLT</t>
  </si>
  <si>
    <t>OV2050MLT</t>
  </si>
  <si>
    <t>ML-3614</t>
  </si>
  <si>
    <t>KK-91485</t>
  </si>
  <si>
    <t>Q-20</t>
  </si>
  <si>
    <t>GON2050SLT</t>
  </si>
  <si>
    <t>STDOT3L</t>
  </si>
  <si>
    <t>QL-16</t>
  </si>
  <si>
    <t>GO1540SLT</t>
  </si>
  <si>
    <t>ROSHFRANS</t>
  </si>
  <si>
    <t>MOT1540MLT</t>
  </si>
  <si>
    <t>AK-3600</t>
  </si>
  <si>
    <t>FILTRO DE ACEITE TWINGO MULTIPUNTO</t>
  </si>
  <si>
    <t>QL-2004</t>
  </si>
  <si>
    <t>FILTRO ACEITE PALIO, UNO, SIENNA, FIORINO, PUNTO</t>
  </si>
  <si>
    <t>UL1540MLT</t>
  </si>
  <si>
    <t>QL-3614</t>
  </si>
  <si>
    <t>SH540FSLT</t>
  </si>
  <si>
    <t>KK-9683</t>
  </si>
  <si>
    <t>IN1540MLT</t>
  </si>
  <si>
    <t>PILA GAS HAMMER UNIVERSAL E2068-CARBON</t>
  </si>
  <si>
    <t>KK-24086</t>
  </si>
  <si>
    <t>CHR2050SLT</t>
  </si>
  <si>
    <t>FILTRO ACEITE TOYOTA COROLLA (ML-4967)</t>
  </si>
  <si>
    <t>MOTORCRAFT</t>
  </si>
  <si>
    <t>QA-9277</t>
  </si>
  <si>
    <t>MR-16</t>
  </si>
  <si>
    <t>INCA</t>
  </si>
  <si>
    <t>DAVAL7590</t>
  </si>
  <si>
    <t>FILTRO ACEITE VOLKSWAGEN BORA,GOL, GOLF (ML-2870 / 5552)</t>
  </si>
  <si>
    <t>FILTRO COMBUSTIBLE HYUNDAI ACCENT, DODGE BRISA</t>
  </si>
  <si>
    <t>FILTRO ACEITE FIESTA 01/14 F150</t>
  </si>
  <si>
    <t>PILA GASOLINA HAMMER REY CAMION</t>
  </si>
  <si>
    <t>SH2050MGL</t>
  </si>
  <si>
    <t>INJECTOR CLEANER / LIMPIADOR DE INYECTORES</t>
  </si>
  <si>
    <t>ACEITE DIESEL 50 AMUAY PAILA VENTA LITRO</t>
  </si>
  <si>
    <t>AMBIENTADORES VENT AROMA A NEW CAR LITTLE TREES</t>
  </si>
  <si>
    <t>AMLITCO</t>
  </si>
  <si>
    <t>BVDEX3</t>
  </si>
  <si>
    <t>AC-R-GL</t>
  </si>
  <si>
    <t>ACEITE 20W50 MINERAL</t>
  </si>
  <si>
    <t>MF-481</t>
  </si>
  <si>
    <t>ACDELCO</t>
  </si>
  <si>
    <t>GO1540MLT</t>
  </si>
  <si>
    <t>AF-111GG</t>
  </si>
  <si>
    <t>LIMPIADOR DE MOTOR SPRAY VENEZOLANA</t>
  </si>
  <si>
    <t>FILTRO DE GASOLINA BRONCO (FG872) FIESTA BALITA</t>
  </si>
  <si>
    <t>QL-7317</t>
  </si>
  <si>
    <t>AL-3807</t>
  </si>
  <si>
    <t>FILTRO DE AIRE COROLLA 1.8 (2009-14) YARIS 1.6 (2006-10)</t>
  </si>
  <si>
    <t>ACEITE DE TRASMISION AUTOMATICA  ATF+4</t>
  </si>
  <si>
    <t>QL-3980</t>
  </si>
  <si>
    <t>FILTRO ACEITE COROLLA/YARIS/STARLE/SPARK</t>
  </si>
  <si>
    <t>ACEITE TRANSMISION AUTOMATICA MERCON V</t>
  </si>
  <si>
    <t>WY51124</t>
  </si>
  <si>
    <t>ROS2050SLT</t>
  </si>
  <si>
    <t>HH-DOT3</t>
  </si>
  <si>
    <t>ACDEX3</t>
  </si>
  <si>
    <t>FILTRO GASOLINA FIESTA TODOS</t>
  </si>
  <si>
    <t>AL-3387</t>
  </si>
  <si>
    <t>MOT4T2050M</t>
  </si>
  <si>
    <t>GOLDEN OIL</t>
  </si>
  <si>
    <t>HAM1540SLT</t>
  </si>
  <si>
    <t>CASTROL</t>
  </si>
  <si>
    <t>FILTROS DE AIRE FORD EXPEDITION 2009/ F-150/ F-250/ F350 2007-2012 (95334)</t>
  </si>
  <si>
    <t>E8012S-HAM</t>
  </si>
  <si>
    <t>BV1540MLT</t>
  </si>
  <si>
    <t>IN1540SGL</t>
  </si>
  <si>
    <t>ML-61759</t>
  </si>
  <si>
    <t>COOLING SYSTEM CLEANER / LIMPIADOR DE RADIADOR Y SISTEMA DE ENFRIAMIENTO</t>
  </si>
  <si>
    <t>20W50 MINERAL GL</t>
  </si>
  <si>
    <t>ACREF100</t>
  </si>
  <si>
    <t>10W30 SEMI SINTETICO SHELL</t>
  </si>
  <si>
    <t>VENEZOLANA</t>
  </si>
  <si>
    <t>DAVAL8090</t>
  </si>
  <si>
    <t>FILTRO DE AIRE TOYOTA  2E STARLET / TERCEL 1.3 L</t>
  </si>
  <si>
    <t>QL-3807</t>
  </si>
  <si>
    <t>FILTRO DE AIRE CHEVROLET LUV-DMAX DE GASOLINA (51943)</t>
  </si>
  <si>
    <t>FILTRO COMBUSTIBLE CHEVROLET OPTRA, AVEO, SPARK, EPICA, CHERY, ARAUCA, X1</t>
  </si>
  <si>
    <t>AF-3981</t>
  </si>
  <si>
    <t>AF-20988</t>
  </si>
  <si>
    <t>5W40 FULL SINTETICO LT</t>
  </si>
  <si>
    <t xml:space="preserve">REFRIGERANTE ROJO </t>
  </si>
  <si>
    <t>02 - ACEITES SEMI-SINTETICOS</t>
  </si>
  <si>
    <t>DRAGON POWER CLEAN / LIMPIADOR DE INYECTORES</t>
  </si>
  <si>
    <t>WI - 57207</t>
  </si>
  <si>
    <t>FILTRO DE AIRE DE ORINOCO</t>
  </si>
  <si>
    <t>BUJIA SPARK/ CORSA/ STARLET</t>
  </si>
  <si>
    <t>AL-5796</t>
  </si>
  <si>
    <t>WPH-8A</t>
  </si>
  <si>
    <t>STREFVERDE</t>
  </si>
  <si>
    <t>AL-12027</t>
  </si>
  <si>
    <t>SKYVAL8090</t>
  </si>
  <si>
    <t>FILTRO DE GASOLINA RENAULT CLIO, LOGAN MEGANE</t>
  </si>
  <si>
    <t>MB1040SLT</t>
  </si>
  <si>
    <t>FILTRO ACEITE AVEO, CORSA, OPTRA (ML-3387)</t>
  </si>
  <si>
    <t>FILTRO DE AIRE FORD EXPEDITION</t>
  </si>
  <si>
    <t>FILTRO DE AIRE COROLLA 1.6 / 1.8 (2003-2008)</t>
  </si>
  <si>
    <t>HAMMER</t>
  </si>
  <si>
    <t>QC-618</t>
  </si>
  <si>
    <t>FILTRO COMBUSTIBLE FORD 350, BROCO, ESCAPE, F150, RANGER, MUSTANG, TAURUS</t>
  </si>
  <si>
    <t>QA-10262</t>
  </si>
  <si>
    <t>ACEITE SEMISINTETICO 15W40 VALVOLINE GALON</t>
  </si>
  <si>
    <t>FILTRO GASOLINA HAMMER EXT.P / FORD TRITON - EXPLORER - FX4- SPOT - TRACK- FORTALEZA</t>
  </si>
  <si>
    <t>AMBIENTADORES PINITOS AROMA A WILD CHERRY LITTLE TREES</t>
  </si>
  <si>
    <t>WPH-2816</t>
  </si>
  <si>
    <t>SUPERKOTE 2000 TRATAMIENTO PARA METAL 4OZ</t>
  </si>
  <si>
    <t>FILTRO ACEITE FORD TRITON 8 CIL/ EXPEDITION V8/ ESCAPE/ EXPLORER SPORT</t>
  </si>
  <si>
    <t>Q-70</t>
  </si>
  <si>
    <t>FILTRO COMBUSTIBLE CORSA, MERIVA, CHEVROLET</t>
  </si>
  <si>
    <t>FILTRO ACEITE VOLKSWAGEN FOX, CROSSFOX 2006-2008, GOL 1997-2018, SPACE FOX 2006...</t>
  </si>
  <si>
    <t>FILTRO COMBUSTIBLE MITSUBISHI LANCER, SIGNO, TOYOTA CELICA</t>
  </si>
  <si>
    <t>CHRONUS</t>
  </si>
  <si>
    <t>QA-9430</t>
  </si>
  <si>
    <t>15W40 SEMI SINTETICO LT</t>
  </si>
  <si>
    <t>FILTRO ACEITE CHEVROLET EXPRESS VAN, TAHOE, AVALANCHE, SILVERADO, TRAIL BLAZER, DODGE CALIBER</t>
  </si>
  <si>
    <t>A1</t>
  </si>
  <si>
    <t>IN1540SLT</t>
  </si>
  <si>
    <t>ML-5949</t>
  </si>
  <si>
    <t>VA1540SGL</t>
  </si>
  <si>
    <t>Precio $</t>
  </si>
  <si>
    <t>Precio BS</t>
  </si>
  <si>
    <t>PVS</t>
  </si>
  <si>
    <t>20W50 MINERAL GL (5 LTS)</t>
  </si>
  <si>
    <t>DIFERENCIA</t>
  </si>
  <si>
    <t>MEX50</t>
  </si>
  <si>
    <t>DIESEL 50 PAILA (19L)</t>
  </si>
  <si>
    <t>MEX1</t>
  </si>
  <si>
    <t>ADITIVO ANTIFRICCION 450ML</t>
  </si>
  <si>
    <t>WY80003</t>
  </si>
  <si>
    <t>PREMIUM OIL TREATMENT / TRATAMIENTO REDUCTOR DE FRICCION PARA ACITE DE MOTOR</t>
  </si>
  <si>
    <t xml:space="preserve">FILTRO ACEITE CHEROKEE LIBERTY (ML61759)
</t>
  </si>
  <si>
    <t>2 TIEMPOS LT</t>
  </si>
  <si>
    <t>SKY2T</t>
  </si>
  <si>
    <t>GOND50PL</t>
  </si>
  <si>
    <t>IND50GL</t>
  </si>
  <si>
    <t>IND50PL</t>
  </si>
  <si>
    <t xml:space="preserve">DIESEL 50 PAILA </t>
  </si>
  <si>
    <t>DIESEL 50 GL</t>
  </si>
  <si>
    <t>ACDBUJIA41-101</t>
  </si>
  <si>
    <t>BOR194</t>
  </si>
  <si>
    <t>BUJIA 41-101 PLATINO SILVERADO</t>
  </si>
  <si>
    <t>BORNE  DE CARRO 194 PLOMO PURO</t>
  </si>
  <si>
    <t>DIESEL 50 PAILA</t>
  </si>
  <si>
    <t>ROSD50LT</t>
  </si>
  <si>
    <t>ROSHPACK VOLTRO SAE 50 MINERAL LT</t>
  </si>
  <si>
    <t>ROSD50PL</t>
  </si>
  <si>
    <t>AK-3593</t>
  </si>
  <si>
    <t>AK-4967</t>
  </si>
  <si>
    <t>KL-10060</t>
  </si>
  <si>
    <t>KL-16</t>
  </si>
  <si>
    <t>KL-3980</t>
  </si>
  <si>
    <t>MEX2</t>
  </si>
  <si>
    <t>ADITIVO ESTABILISADOR DE ACEITE 450ML</t>
  </si>
  <si>
    <t>Q-10C6</t>
  </si>
  <si>
    <t>CERA PARA TABLEROS EN SPRAY</t>
  </si>
  <si>
    <t>E2157/E2158CAR</t>
  </si>
  <si>
    <t xml:space="preserve">PILA GASOLINA HAMMER EXPLORER / FORTALEZA / FIESTA / FOCUS CARBON </t>
  </si>
  <si>
    <t>MB1040SGL</t>
  </si>
  <si>
    <t>10W40 SEMISINTETICO GL</t>
  </si>
  <si>
    <t>MBD1540PL</t>
  </si>
  <si>
    <t>DIESEL 15W40 CK-4 PAILA</t>
  </si>
  <si>
    <t>MBD50LT</t>
  </si>
  <si>
    <t>DIESEL 50 LT</t>
  </si>
  <si>
    <t>MBD50PL</t>
  </si>
  <si>
    <t>H7R</t>
  </si>
  <si>
    <t>REFRIGERANTE ROJO H7</t>
  </si>
  <si>
    <t>H7</t>
  </si>
  <si>
    <t>H7V</t>
  </si>
  <si>
    <t>REFRIGERANTE VERDE H7</t>
  </si>
  <si>
    <t>SEN9982</t>
  </si>
  <si>
    <t>SELLA FUGAS DE ACEITE 300 ML</t>
  </si>
  <si>
    <t>AK-10060</t>
  </si>
  <si>
    <t>AK-2</t>
  </si>
  <si>
    <t>AK-3387</t>
  </si>
  <si>
    <t>PER20539</t>
  </si>
  <si>
    <t>GOMA LACA PX 5J GASKET SHELLAC 2 OZ</t>
  </si>
  <si>
    <t>PER81950</t>
  </si>
  <si>
    <t>ULTRA SLICK - LUBRICANTE PARA ARMADO DE MOTOR</t>
  </si>
  <si>
    <t>PERMATEX</t>
  </si>
  <si>
    <t>MOTORC4150</t>
  </si>
  <si>
    <t>MOTORC4571</t>
  </si>
  <si>
    <t>BUJIA SP411X PLATINO FORD FIESTA POWER/MAX/MOVE/ SUPER DUTY</t>
  </si>
  <si>
    <t>BUJIA SP500X PLATINO FOCUS 2.0/ FUSION 3.0/ ESCAPE</t>
  </si>
  <si>
    <t>PER27036</t>
  </si>
  <si>
    <t>PX OPTIMUM GREY SILICON 335OZ</t>
  </si>
  <si>
    <t>PER27037</t>
  </si>
  <si>
    <t>PX OPTIMUM BLCK SILICON 335OZ</t>
  </si>
  <si>
    <t>PER27038</t>
  </si>
  <si>
    <t>PX OPTIMUM SILICON RED 335OZ</t>
  </si>
  <si>
    <t>MEGAZUKI</t>
  </si>
  <si>
    <t>SILICON HANMER</t>
  </si>
  <si>
    <t>MZ-SLCN</t>
  </si>
  <si>
    <t>SILICON A y B MEGAZUKI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</si>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</sst>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8"/>
      <color rgb="FF6D6D6D"/>
      <name val="Tahoma"/>
      <family val="2"/>
    </font>
    <font>
      <sz val="11"/>
      <name val="Arial"/>
      <family val="2"/>
    </font>
    <font>
      <sz val="8"/>
      <name val="Tahoma"/>
      <family val="2"/>
    </font>
    <font>
      <sz val="8"/>
      <color rgb="FF6D6D6D"/>
      <name val="Tahoma"/>
      <family val="2"/>
    </font>
    <font>
      <b/>
      <sz val="8"/>
      <color rgb="FF6D6D6D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FF0000"/>
      <name val="Tahoma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6D6D6D"/>
      <name val="Arial"/>
      <family val="2"/>
    </font>
    <font>
      <sz val="11"/>
      <color rgb="FFFF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4" tint="0.5999938962981048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FFFFCC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2">
    <xf numFmtId="0" fontId="0" fillId="2" borderId="0" applyNumberFormat="0" applyFont="0" applyFill="0" applyBorder="0" applyAlignment="0" applyProtection="0">
      <alignment horizontal="left" vertical="top" wrapText="1"/>
    </xf>
    <xf numFmtId="43" fontId="3" fillId="0" borderId="0" applyFont="0" applyFill="0" applyBorder="0" applyAlignment="0" applyProtection="0"/>
  </cellStyleXfs>
  <cellXfs count="47">
    <xf numFmtId="0" fontId="0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alignment horizontal="left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left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43" fontId="6" fillId="2" borderId="1" xfId="1" applyFont="1" applyFill="1" applyBorder="1" applyAlignment="1" applyProtection="1">
      <alignment horizontal="right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left" vertical="center" wrapText="1"/>
    </xf>
    <xf numFmtId="43" fontId="7" fillId="2" borderId="1" xfId="1" applyFont="1" applyFill="1" applyBorder="1" applyAlignment="1" applyProtection="1">
      <alignment horizontal="right" vertical="center" wrapText="1"/>
    </xf>
    <xf numFmtId="0" fontId="7" fillId="2" borderId="0" xfId="0" applyNumberFormat="1" applyFont="1" applyFill="1" applyBorder="1" applyAlignment="1" applyProtection="1">
      <alignment horizontal="left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left" vertical="center" wrapText="1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8" fillId="5" borderId="1" xfId="0" applyNumberFormat="1" applyFont="1" applyFill="1" applyBorder="1" applyAlignment="1" applyProtection="1">
      <alignment horizontal="left" vertical="center" wrapText="1"/>
    </xf>
    <xf numFmtId="0" fontId="9" fillId="4" borderId="1" xfId="0" applyNumberFormat="1" applyFont="1" applyFill="1" applyBorder="1" applyAlignment="1" applyProtection="1">
      <alignment horizontal="center" vertical="center" wrapText="1"/>
    </xf>
    <xf numFmtId="0" fontId="10" fillId="2" borderId="1" xfId="0" applyNumberFormat="1" applyFont="1" applyFill="1" applyBorder="1" applyAlignment="1" applyProtection="1">
      <alignment horizontal="center" vertical="center" wrapText="1"/>
    </xf>
    <xf numFmtId="0" fontId="10" fillId="5" borderId="1" xfId="0" applyNumberFormat="1" applyFont="1" applyFill="1" applyBorder="1" applyAlignment="1" applyProtection="1">
      <alignment horizontal="center" vertical="center" wrapText="1"/>
    </xf>
    <xf numFmtId="0" fontId="11" fillId="2" borderId="0" xfId="0" applyNumberFormat="1" applyFont="1" applyFill="1" applyBorder="1" applyAlignment="1" applyProtection="1">
      <alignment horizontal="center" vertical="center" wrapText="1"/>
    </xf>
    <xf numFmtId="9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1" fillId="2" borderId="0" xfId="0" applyNumberFormat="1" applyFont="1" applyFill="1" applyBorder="1" applyAlignment="1" applyProtection="1">
      <alignment horizontal="left" vertical="center" wrapText="1"/>
    </xf>
    <xf numFmtId="0" fontId="10" fillId="2" borderId="1" xfId="0" applyNumberFormat="1" applyFont="1" applyFill="1" applyBorder="1" applyAlignment="1" applyProtection="1">
      <alignment horizontal="left" vertical="center" wrapText="1"/>
    </xf>
    <xf numFmtId="43" fontId="10" fillId="2" borderId="1" xfId="1" applyFont="1" applyFill="1" applyBorder="1" applyAlignment="1" applyProtection="1">
      <alignment horizontal="right" vertical="center" wrapText="1"/>
    </xf>
    <xf numFmtId="43" fontId="1" fillId="5" borderId="0" xfId="0" applyNumberFormat="1" applyFont="1" applyFill="1" applyBorder="1" applyAlignment="1" applyProtection="1">
      <alignment horizontal="left" vertical="center" wrapText="1"/>
    </xf>
    <xf numFmtId="43" fontId="1" fillId="2" borderId="0" xfId="0" applyNumberFormat="1" applyFont="1" applyFill="1" applyBorder="1" applyAlignment="1" applyProtection="1">
      <alignment horizontal="left" vertical="center" wrapText="1"/>
    </xf>
    <xf numFmtId="0" fontId="12" fillId="2" borderId="0" xfId="0" applyNumberFormat="1" applyFont="1" applyFill="1" applyBorder="1" applyAlignment="1" applyProtection="1">
      <alignment horizontal="left" vertical="center" wrapText="1"/>
    </xf>
    <xf numFmtId="43" fontId="10" fillId="5" borderId="1" xfId="1" applyFont="1" applyFill="1" applyBorder="1" applyAlignment="1" applyProtection="1">
      <alignment horizontal="right" vertical="center" wrapText="1"/>
    </xf>
    <xf numFmtId="0" fontId="11" fillId="5" borderId="0" xfId="0" applyNumberFormat="1" applyFont="1" applyFill="1" applyBorder="1" applyAlignment="1" applyProtection="1">
      <alignment horizontal="left" vertical="center" wrapText="1"/>
    </xf>
    <xf numFmtId="0" fontId="12" fillId="5" borderId="0" xfId="0" applyNumberFormat="1" applyFont="1" applyFill="1" applyBorder="1" applyAlignment="1" applyProtection="1">
      <alignment horizontal="left" vertical="center" wrapText="1"/>
    </xf>
    <xf numFmtId="0" fontId="10" fillId="5" borderId="1" xfId="0" applyNumberFormat="1" applyFont="1" applyFill="1" applyBorder="1" applyAlignment="1" applyProtection="1">
      <alignment horizontal="left" vertical="center" wrapText="1"/>
    </xf>
    <xf numFmtId="43" fontId="11" fillId="2" borderId="0" xfId="1" applyFont="1" applyFill="1" applyBorder="1" applyAlignment="1" applyProtection="1">
      <alignment horizontal="left" vertical="center" wrapText="1"/>
    </xf>
    <xf numFmtId="0" fontId="10" fillId="2" borderId="1" xfId="0" applyNumberFormat="1" applyFont="1" applyFill="1" applyBorder="1" applyAlignment="1" applyProtection="1">
      <alignment horizontal="left" vertical="center"/>
    </xf>
    <xf numFmtId="0" fontId="13" fillId="2" borderId="1" xfId="0" applyNumberFormat="1" applyFont="1" applyFill="1" applyBorder="1" applyAlignment="1" applyProtection="1">
      <alignment horizontal="center" vertical="center" wrapText="1"/>
    </xf>
    <xf numFmtId="43" fontId="14" fillId="4" borderId="1" xfId="1" applyFont="1" applyFill="1" applyBorder="1" applyAlignment="1" applyProtection="1">
      <alignment horizontal="center" vertical="center" wrapText="1"/>
    </xf>
    <xf numFmtId="43" fontId="10" fillId="2" borderId="0" xfId="1" applyFont="1" applyFill="1" applyBorder="1" applyAlignment="1" applyProtection="1">
      <alignment horizontal="right" vertical="center" wrapText="1"/>
    </xf>
    <xf numFmtId="43" fontId="10" fillId="5" borderId="0" xfId="1" applyFont="1" applyFill="1" applyBorder="1" applyAlignment="1" applyProtection="1">
      <alignment horizontal="right" vertical="center" wrapText="1"/>
    </xf>
    <xf numFmtId="43" fontId="11" fillId="2" borderId="0" xfId="0" applyNumberFormat="1" applyFont="1" applyFill="1" applyBorder="1" applyAlignment="1" applyProtection="1">
      <alignment horizontal="left" vertical="center" wrapText="1"/>
    </xf>
    <xf numFmtId="43" fontId="14" fillId="5" borderId="0" xfId="1" applyFont="1" applyFill="1" applyBorder="1" applyAlignment="1" applyProtection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left" vertical="top" wrapText="1"/>
    </xf>
    <xf numFmtId="0" fontId="6" fillId="6" borderId="1" xfId="0" applyNumberFormat="1" applyFont="1" applyFill="1" applyBorder="1" applyAlignment="1" applyProtection="1">
      <alignment horizontal="left" vertical="center" wrapText="1"/>
    </xf>
    <xf numFmtId="0" fontId="6" fillId="6" borderId="1" xfId="0" applyNumberFormat="1" applyFont="1" applyFill="1" applyBorder="1" applyAlignment="1" applyProtection="1">
      <alignment horizontal="right" vertical="center" wrapText="1"/>
    </xf>
    <xf numFmtId="0" fontId="0" fillId="6" borderId="0" xfId="0" applyNumberFormat="1" applyFont="1" applyFill="1" applyBorder="1" applyAlignment="1" applyProtection="1">
      <alignment horizontal="left" vertical="center" wrapText="1"/>
    </xf>
    <xf numFmtId="0" fontId="6" fillId="6" borderId="1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ont="1" applyFill="1" applyBorder="1" applyAlignment="1" applyProtection="1">
      <alignment horizontal="center" vertical="center" wrapText="1"/>
    </xf>
    <xf numFmtId="0" fontId="13" fillId="2" borderId="1" xfId="0" applyNumberFormat="1" applyFont="1" applyFill="1" applyBorder="1" applyAlignment="1" applyProtection="1">
      <alignment horizontal="left" vertical="center" wrapText="1"/>
    </xf>
  </cellXfs>
  <cellStyles count="3">
    <cellStyle name="Millares" xfId="1" builtinId="3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2172-B3FA-40E8-B98F-5FF5435019C6}">
  <sheetPr>
    <pageSetUpPr autoPageBreaks="0"/>
  </sheetPr>
  <dimension ref="A1:P416"/>
  <sheetViews>
    <sheetView tabSelected="1" showOutlineSymbols="0" topLeftCell="A377" zoomScale="94" workbookViewId="0">
      <selection activeCell="G396" sqref="G396"/>
    </sheetView>
  </sheetViews>
  <sheetFormatPr baseColWidth="10" defaultColWidth="14.25" defaultRowHeight="20.25" customHeight="1" x14ac:dyDescent="0.15"/>
  <cols>
    <col min="1" max="1" width="14.25" style="22"/>
    <col min="2" max="2" width="19.5" style="18" customWidth="1"/>
    <col min="3" max="3" width="68.5" style="22" customWidth="1"/>
    <col min="4" max="4" width="18" style="18" customWidth="1"/>
    <col min="5" max="6" width="13" style="32" customWidth="1"/>
    <col min="7" max="9" width="12.5" style="21" customWidth="1"/>
    <col min="10" max="10" width="15.75" style="22" bestFit="1" customWidth="1"/>
    <col min="11" max="16384" width="14.25" style="22"/>
  </cols>
  <sheetData>
    <row r="1" spans="1:10" ht="19.5" customHeight="1" x14ac:dyDescent="0.15">
      <c r="B1" s="15" t="s">
        <v>259</v>
      </c>
      <c r="C1" s="15" t="s">
        <v>855</v>
      </c>
      <c r="D1" s="15" t="s">
        <v>307</v>
      </c>
      <c r="E1" s="35" t="s">
        <v>781</v>
      </c>
      <c r="F1" s="35" t="s">
        <v>782</v>
      </c>
      <c r="G1" s="39"/>
      <c r="H1" s="19">
        <v>1.1000000000000001</v>
      </c>
      <c r="I1" s="20" t="s">
        <v>783</v>
      </c>
      <c r="J1" s="21" t="s">
        <v>785</v>
      </c>
    </row>
    <row r="2" spans="1:10" ht="19.5" customHeight="1" x14ac:dyDescent="0.15">
      <c r="B2" s="16" t="s">
        <v>468</v>
      </c>
      <c r="C2" s="23" t="s">
        <v>201</v>
      </c>
      <c r="D2" s="16" t="s">
        <v>703</v>
      </c>
      <c r="E2" s="24">
        <v>7.5</v>
      </c>
      <c r="F2" s="24">
        <v>15.75</v>
      </c>
      <c r="G2" s="36"/>
      <c r="H2" s="25">
        <f>E2*110/100</f>
        <v>8.25</v>
      </c>
      <c r="I2" s="26">
        <f t="shared" ref="I2:I33" si="0">E2+H2</f>
        <v>15.75</v>
      </c>
      <c r="J2" s="26">
        <f t="shared" ref="J2:J33" si="1">F2-I2</f>
        <v>0</v>
      </c>
    </row>
    <row r="3" spans="1:10" ht="19.5" customHeight="1" x14ac:dyDescent="0.15">
      <c r="B3" s="16" t="s">
        <v>727</v>
      </c>
      <c r="C3" s="23" t="s">
        <v>167</v>
      </c>
      <c r="D3" s="16" t="s">
        <v>478</v>
      </c>
      <c r="E3" s="28">
        <v>6.75</v>
      </c>
      <c r="F3" s="24">
        <v>14.175000000000001</v>
      </c>
      <c r="G3" s="36"/>
      <c r="H3" s="25">
        <f t="shared" ref="H3:H64" si="2">E3*110/100</f>
        <v>7.4249999999999998</v>
      </c>
      <c r="I3" s="26">
        <f t="shared" si="0"/>
        <v>14.175000000000001</v>
      </c>
      <c r="J3" s="26">
        <f t="shared" si="1"/>
        <v>0</v>
      </c>
    </row>
    <row r="4" spans="1:10" ht="19.5" customHeight="1" x14ac:dyDescent="0.15">
      <c r="B4" s="16" t="s">
        <v>492</v>
      </c>
      <c r="C4" s="23" t="s">
        <v>784</v>
      </c>
      <c r="D4" s="16" t="s">
        <v>478</v>
      </c>
      <c r="E4" s="24">
        <v>32.5</v>
      </c>
      <c r="F4" s="24">
        <v>68.25</v>
      </c>
      <c r="G4" s="36"/>
      <c r="H4" s="25">
        <f t="shared" si="2"/>
        <v>35.75</v>
      </c>
      <c r="I4" s="26">
        <f t="shared" si="0"/>
        <v>68.25</v>
      </c>
      <c r="J4" s="26">
        <f t="shared" si="1"/>
        <v>0</v>
      </c>
    </row>
    <row r="5" spans="1:10" ht="19.5" customHeight="1" x14ac:dyDescent="0.15">
      <c r="B5" s="16" t="s">
        <v>90</v>
      </c>
      <c r="C5" s="23" t="s">
        <v>176</v>
      </c>
      <c r="D5" s="16" t="s">
        <v>478</v>
      </c>
      <c r="E5" s="24">
        <v>6.75</v>
      </c>
      <c r="F5" s="24">
        <v>14.175000000000001</v>
      </c>
      <c r="G5" s="36"/>
      <c r="H5" s="25">
        <f t="shared" si="2"/>
        <v>7.4249999999999998</v>
      </c>
      <c r="I5" s="26">
        <f t="shared" si="0"/>
        <v>14.175000000000001</v>
      </c>
      <c r="J5" s="26">
        <f t="shared" si="1"/>
        <v>0</v>
      </c>
    </row>
    <row r="6" spans="1:10" ht="19.5" customHeight="1" x14ac:dyDescent="0.15">
      <c r="B6" s="16" t="s">
        <v>149</v>
      </c>
      <c r="C6" s="23" t="s">
        <v>176</v>
      </c>
      <c r="D6" s="16" t="s">
        <v>724</v>
      </c>
      <c r="E6" s="24">
        <v>11.5</v>
      </c>
      <c r="F6" s="24">
        <v>24.15</v>
      </c>
      <c r="G6" s="36"/>
      <c r="H6" s="25">
        <f t="shared" si="2"/>
        <v>12.65</v>
      </c>
      <c r="I6" s="26">
        <f t="shared" si="0"/>
        <v>24.15</v>
      </c>
      <c r="J6" s="26">
        <f t="shared" si="1"/>
        <v>0</v>
      </c>
    </row>
    <row r="7" spans="1:10" s="27" customFormat="1" ht="19.5" customHeight="1" x14ac:dyDescent="0.15">
      <c r="A7" s="22"/>
      <c r="B7" s="16" t="s">
        <v>2</v>
      </c>
      <c r="C7" s="23" t="s">
        <v>167</v>
      </c>
      <c r="D7" s="16" t="s">
        <v>773</v>
      </c>
      <c r="E7" s="24">
        <v>7.5</v>
      </c>
      <c r="F7" s="24">
        <v>15.75</v>
      </c>
      <c r="G7" s="36"/>
      <c r="H7" s="25">
        <f t="shared" si="2"/>
        <v>8.25</v>
      </c>
      <c r="I7" s="26">
        <f t="shared" si="0"/>
        <v>15.75</v>
      </c>
      <c r="J7" s="26">
        <f t="shared" si="1"/>
        <v>0</v>
      </c>
    </row>
    <row r="8" spans="1:10" ht="19.5" customHeight="1" x14ac:dyDescent="0.15">
      <c r="B8" s="16" t="s">
        <v>194</v>
      </c>
      <c r="C8" s="23" t="s">
        <v>176</v>
      </c>
      <c r="D8" s="16" t="s">
        <v>773</v>
      </c>
      <c r="E8" s="24">
        <v>7.5</v>
      </c>
      <c r="F8" s="24">
        <v>15.75</v>
      </c>
      <c r="G8" s="36"/>
      <c r="H8" s="25">
        <f t="shared" si="2"/>
        <v>8.25</v>
      </c>
      <c r="I8" s="26">
        <f t="shared" si="0"/>
        <v>15.75</v>
      </c>
      <c r="J8" s="26">
        <f t="shared" si="1"/>
        <v>0</v>
      </c>
    </row>
    <row r="9" spans="1:10" s="27" customFormat="1" ht="19.5" customHeight="1" x14ac:dyDescent="0.15">
      <c r="A9" s="22"/>
      <c r="B9" s="16" t="s">
        <v>340</v>
      </c>
      <c r="C9" s="23" t="s">
        <v>167</v>
      </c>
      <c r="D9" s="16" t="s">
        <v>464</v>
      </c>
      <c r="E9" s="28">
        <v>7.75</v>
      </c>
      <c r="F9" s="24">
        <v>16.274999999999999</v>
      </c>
      <c r="G9" s="36"/>
      <c r="H9" s="25">
        <f t="shared" si="2"/>
        <v>8.5250000000000004</v>
      </c>
      <c r="I9" s="26">
        <f t="shared" si="0"/>
        <v>16.274999999999999</v>
      </c>
      <c r="J9" s="26">
        <f t="shared" si="1"/>
        <v>0</v>
      </c>
    </row>
    <row r="10" spans="1:10" ht="19.5" customHeight="1" x14ac:dyDescent="0.15">
      <c r="B10" s="16" t="s">
        <v>452</v>
      </c>
      <c r="C10" s="23" t="s">
        <v>731</v>
      </c>
      <c r="D10" s="16" t="s">
        <v>464</v>
      </c>
      <c r="E10" s="28">
        <v>31</v>
      </c>
      <c r="F10" s="24">
        <v>65.099999999999994</v>
      </c>
      <c r="G10" s="36"/>
      <c r="H10" s="25">
        <f t="shared" si="2"/>
        <v>34.1</v>
      </c>
      <c r="I10" s="26">
        <f t="shared" si="0"/>
        <v>65.099999999999994</v>
      </c>
      <c r="J10" s="26">
        <f t="shared" si="1"/>
        <v>0</v>
      </c>
    </row>
    <row r="11" spans="1:10" s="27" customFormat="1" ht="19.5" customHeight="1" x14ac:dyDescent="0.15">
      <c r="B11" s="16" t="s">
        <v>605</v>
      </c>
      <c r="C11" s="23" t="s">
        <v>176</v>
      </c>
      <c r="D11" s="16" t="s">
        <v>464</v>
      </c>
      <c r="E11" s="28">
        <v>7.75</v>
      </c>
      <c r="F11" s="24">
        <v>16.274999999999999</v>
      </c>
      <c r="G11" s="36"/>
      <c r="H11" s="25">
        <f t="shared" si="2"/>
        <v>8.5250000000000004</v>
      </c>
      <c r="I11" s="26">
        <f t="shared" si="0"/>
        <v>16.274999999999999</v>
      </c>
      <c r="J11" s="26">
        <f t="shared" si="1"/>
        <v>0</v>
      </c>
    </row>
    <row r="12" spans="1:10" s="27" customFormat="1" ht="19.5" customHeight="1" x14ac:dyDescent="0.15">
      <c r="A12" s="22"/>
      <c r="B12" s="16" t="s">
        <v>704</v>
      </c>
      <c r="C12" s="23" t="s">
        <v>101</v>
      </c>
      <c r="D12" s="16" t="s">
        <v>722</v>
      </c>
      <c r="E12" s="24">
        <v>4.5</v>
      </c>
      <c r="F12" s="24">
        <v>9.4499999999999993</v>
      </c>
      <c r="G12" s="36"/>
      <c r="H12" s="25">
        <f t="shared" si="2"/>
        <v>4.95</v>
      </c>
      <c r="I12" s="26">
        <f t="shared" si="0"/>
        <v>9.4499999999999993</v>
      </c>
      <c r="J12" s="26">
        <f t="shared" si="1"/>
        <v>0</v>
      </c>
    </row>
    <row r="13" spans="1:10" s="27" customFormat="1" ht="19.5" customHeight="1" x14ac:dyDescent="0.15">
      <c r="B13" s="16" t="s">
        <v>143</v>
      </c>
      <c r="C13" s="23" t="s">
        <v>176</v>
      </c>
      <c r="D13" s="16" t="s">
        <v>481</v>
      </c>
      <c r="E13" s="24">
        <v>6.75</v>
      </c>
      <c r="F13" s="24">
        <v>14.175000000000001</v>
      </c>
      <c r="G13" s="36"/>
      <c r="H13" s="25">
        <f t="shared" si="2"/>
        <v>7.4249999999999998</v>
      </c>
      <c r="I13" s="26">
        <f t="shared" si="0"/>
        <v>14.175000000000001</v>
      </c>
      <c r="J13" s="26">
        <f t="shared" si="1"/>
        <v>0</v>
      </c>
    </row>
    <row r="14" spans="1:10" s="27" customFormat="1" ht="19.5" customHeight="1" x14ac:dyDescent="0.15">
      <c r="A14" s="22"/>
      <c r="B14" s="16" t="s">
        <v>569</v>
      </c>
      <c r="C14" s="23" t="s">
        <v>167</v>
      </c>
      <c r="D14" s="16" t="s">
        <v>759</v>
      </c>
      <c r="E14" s="24">
        <v>6.25</v>
      </c>
      <c r="F14" s="24">
        <v>13.125</v>
      </c>
      <c r="G14" s="36"/>
      <c r="H14" s="25">
        <f t="shared" si="2"/>
        <v>6.875</v>
      </c>
      <c r="I14" s="26">
        <f t="shared" si="0"/>
        <v>13.125</v>
      </c>
      <c r="J14" s="26">
        <f t="shared" si="1"/>
        <v>0</v>
      </c>
    </row>
    <row r="15" spans="1:10" s="27" customFormat="1" ht="19.5" customHeight="1" x14ac:dyDescent="0.15">
      <c r="B15" s="16" t="s">
        <v>372</v>
      </c>
      <c r="C15" s="23" t="s">
        <v>176</v>
      </c>
      <c r="D15" s="16" t="s">
        <v>759</v>
      </c>
      <c r="E15" s="24">
        <v>6.25</v>
      </c>
      <c r="F15" s="24">
        <v>13.125</v>
      </c>
      <c r="G15" s="36"/>
      <c r="H15" s="25">
        <f t="shared" si="2"/>
        <v>6.875</v>
      </c>
      <c r="I15" s="26">
        <f t="shared" si="0"/>
        <v>13.125</v>
      </c>
      <c r="J15" s="26">
        <f t="shared" si="1"/>
        <v>0</v>
      </c>
    </row>
    <row r="16" spans="1:10" s="27" customFormat="1" ht="19.5" customHeight="1" x14ac:dyDescent="0.15">
      <c r="B16" s="16" t="s">
        <v>680</v>
      </c>
      <c r="C16" s="23" t="s">
        <v>167</v>
      </c>
      <c r="D16" s="16" t="s">
        <v>688</v>
      </c>
      <c r="E16" s="24">
        <v>8.5</v>
      </c>
      <c r="F16" s="24">
        <v>17.850000000000001</v>
      </c>
      <c r="G16" s="36"/>
      <c r="H16" s="25">
        <f t="shared" si="2"/>
        <v>9.35</v>
      </c>
      <c r="I16" s="26">
        <f t="shared" si="0"/>
        <v>17.850000000000001</v>
      </c>
      <c r="J16" s="26">
        <f t="shared" si="1"/>
        <v>0</v>
      </c>
    </row>
    <row r="17" spans="1:10" s="27" customFormat="1" ht="19.5" customHeight="1" x14ac:dyDescent="0.15">
      <c r="B17" s="16" t="s">
        <v>326</v>
      </c>
      <c r="C17" s="23" t="s">
        <v>731</v>
      </c>
      <c r="D17" s="16" t="s">
        <v>688</v>
      </c>
      <c r="E17" s="24">
        <v>34</v>
      </c>
      <c r="F17" s="24">
        <v>71.400000000000006</v>
      </c>
      <c r="G17" s="36"/>
      <c r="H17" s="25">
        <f t="shared" si="2"/>
        <v>37.4</v>
      </c>
      <c r="I17" s="26">
        <f t="shared" si="0"/>
        <v>71.400000000000006</v>
      </c>
      <c r="J17" s="26">
        <f t="shared" si="1"/>
        <v>0</v>
      </c>
    </row>
    <row r="18" spans="1:10" s="27" customFormat="1" ht="19.5" customHeight="1" x14ac:dyDescent="0.15">
      <c r="B18" s="16" t="s">
        <v>304</v>
      </c>
      <c r="C18" s="23" t="s">
        <v>176</v>
      </c>
      <c r="D18" s="16" t="s">
        <v>688</v>
      </c>
      <c r="E18" s="24">
        <v>8.5</v>
      </c>
      <c r="F18" s="24">
        <v>17.850000000000001</v>
      </c>
      <c r="G18" s="36"/>
      <c r="H18" s="25">
        <f t="shared" si="2"/>
        <v>9.35</v>
      </c>
      <c r="I18" s="26">
        <f t="shared" si="0"/>
        <v>17.850000000000001</v>
      </c>
      <c r="J18" s="26">
        <f t="shared" si="1"/>
        <v>0</v>
      </c>
    </row>
    <row r="19" spans="1:10" s="27" customFormat="1" ht="19.5" customHeight="1" x14ac:dyDescent="0.15">
      <c r="B19" s="16" t="s">
        <v>122</v>
      </c>
      <c r="C19" s="23" t="s">
        <v>176</v>
      </c>
      <c r="D19" s="16" t="s">
        <v>588</v>
      </c>
      <c r="E19" s="24">
        <v>5</v>
      </c>
      <c r="F19" s="24">
        <v>10.5</v>
      </c>
      <c r="G19" s="36"/>
      <c r="H19" s="25">
        <f t="shared" si="2"/>
        <v>5.5</v>
      </c>
      <c r="I19" s="26">
        <f t="shared" si="0"/>
        <v>10.5</v>
      </c>
      <c r="J19" s="26">
        <f t="shared" si="1"/>
        <v>0</v>
      </c>
    </row>
    <row r="20" spans="1:10" s="27" customFormat="1" ht="19.5" customHeight="1" x14ac:dyDescent="0.15">
      <c r="B20" s="16" t="s">
        <v>142</v>
      </c>
      <c r="C20" s="23" t="s">
        <v>176</v>
      </c>
      <c r="D20" s="16" t="s">
        <v>597</v>
      </c>
      <c r="E20" s="24">
        <v>7</v>
      </c>
      <c r="F20" s="24">
        <v>14.7</v>
      </c>
      <c r="G20" s="36"/>
      <c r="H20" s="25">
        <f t="shared" si="2"/>
        <v>7.7</v>
      </c>
      <c r="I20" s="26">
        <f t="shared" si="0"/>
        <v>14.7</v>
      </c>
      <c r="J20" s="26">
        <f t="shared" si="1"/>
        <v>0</v>
      </c>
    </row>
    <row r="21" spans="1:10" s="27" customFormat="1" ht="19.5" customHeight="1" x14ac:dyDescent="0.15">
      <c r="B21" s="16" t="s">
        <v>429</v>
      </c>
      <c r="C21" s="23" t="s">
        <v>176</v>
      </c>
      <c r="D21" s="16" t="s">
        <v>73</v>
      </c>
      <c r="E21" s="28">
        <v>8.5</v>
      </c>
      <c r="F21" s="24">
        <v>17.850000000000001</v>
      </c>
      <c r="G21" s="36"/>
      <c r="H21" s="25">
        <f t="shared" si="2"/>
        <v>9.35</v>
      </c>
      <c r="I21" s="26">
        <f t="shared" si="0"/>
        <v>17.850000000000001</v>
      </c>
      <c r="J21" s="26">
        <f t="shared" si="1"/>
        <v>0</v>
      </c>
    </row>
    <row r="22" spans="1:10" s="27" customFormat="1" ht="19.5" customHeight="1" x14ac:dyDescent="0.15">
      <c r="B22" s="16" t="s">
        <v>671</v>
      </c>
      <c r="C22" s="23" t="s">
        <v>167</v>
      </c>
      <c r="D22" s="16" t="s">
        <v>87</v>
      </c>
      <c r="E22" s="24">
        <v>12</v>
      </c>
      <c r="F22" s="24">
        <v>25.2</v>
      </c>
      <c r="G22" s="36"/>
      <c r="H22" s="25">
        <f t="shared" si="2"/>
        <v>13.2</v>
      </c>
      <c r="I22" s="26">
        <f t="shared" si="0"/>
        <v>25.2</v>
      </c>
      <c r="J22" s="26">
        <f t="shared" si="1"/>
        <v>0</v>
      </c>
    </row>
    <row r="23" spans="1:10" s="27" customFormat="1" ht="19.5" customHeight="1" x14ac:dyDescent="0.15">
      <c r="B23" s="16" t="s">
        <v>518</v>
      </c>
      <c r="C23" s="23" t="s">
        <v>167</v>
      </c>
      <c r="D23" s="16" t="s">
        <v>4</v>
      </c>
      <c r="E23" s="28">
        <v>6.5</v>
      </c>
      <c r="F23" s="24">
        <v>13.65</v>
      </c>
      <c r="G23" s="36"/>
      <c r="H23" s="25">
        <f t="shared" si="2"/>
        <v>7.15</v>
      </c>
      <c r="I23" s="26">
        <f t="shared" si="0"/>
        <v>13.65</v>
      </c>
      <c r="J23" s="26">
        <f t="shared" si="1"/>
        <v>0</v>
      </c>
    </row>
    <row r="24" spans="1:10" s="27" customFormat="1" ht="19.5" customHeight="1" x14ac:dyDescent="0.15">
      <c r="B24" s="16" t="s">
        <v>341</v>
      </c>
      <c r="C24" s="23" t="s">
        <v>176</v>
      </c>
      <c r="D24" s="16" t="s">
        <v>4</v>
      </c>
      <c r="E24" s="28">
        <v>6.5</v>
      </c>
      <c r="F24" s="24">
        <v>13.65</v>
      </c>
      <c r="G24" s="36"/>
      <c r="H24" s="25">
        <f t="shared" si="2"/>
        <v>7.15</v>
      </c>
      <c r="I24" s="26">
        <f t="shared" si="0"/>
        <v>13.65</v>
      </c>
      <c r="J24" s="26">
        <f t="shared" si="1"/>
        <v>0</v>
      </c>
    </row>
    <row r="25" spans="1:10" s="27" customFormat="1" ht="19.5" customHeight="1" x14ac:dyDescent="0.15">
      <c r="B25" s="16" t="s">
        <v>284</v>
      </c>
      <c r="C25" s="23" t="s">
        <v>327</v>
      </c>
      <c r="D25" s="16" t="s">
        <v>4</v>
      </c>
      <c r="E25" s="28">
        <v>6.5</v>
      </c>
      <c r="F25" s="24">
        <v>13.65</v>
      </c>
      <c r="G25" s="36"/>
      <c r="H25" s="25">
        <f t="shared" si="2"/>
        <v>7.15</v>
      </c>
      <c r="I25" s="26">
        <f t="shared" si="0"/>
        <v>13.65</v>
      </c>
      <c r="J25" s="26">
        <f t="shared" si="1"/>
        <v>0</v>
      </c>
    </row>
    <row r="26" spans="1:10" s="27" customFormat="1" ht="19.5" customHeight="1" x14ac:dyDescent="0.15">
      <c r="B26" s="16" t="s">
        <v>51</v>
      </c>
      <c r="C26" s="23" t="s">
        <v>167</v>
      </c>
      <c r="D26" s="16" t="s">
        <v>426</v>
      </c>
      <c r="E26" s="24">
        <v>7</v>
      </c>
      <c r="F26" s="24">
        <v>14.7</v>
      </c>
      <c r="G26" s="36"/>
      <c r="H26" s="25">
        <f t="shared" si="2"/>
        <v>7.7</v>
      </c>
      <c r="I26" s="26">
        <f t="shared" si="0"/>
        <v>14.7</v>
      </c>
      <c r="J26" s="26">
        <f t="shared" si="1"/>
        <v>0</v>
      </c>
    </row>
    <row r="27" spans="1:10" s="27" customFormat="1" ht="19.5" customHeight="1" x14ac:dyDescent="0.15">
      <c r="B27" s="16" t="s">
        <v>137</v>
      </c>
      <c r="C27" s="23" t="s">
        <v>731</v>
      </c>
      <c r="D27" s="16" t="s">
        <v>426</v>
      </c>
      <c r="E27" s="24">
        <v>28</v>
      </c>
      <c r="F27" s="24">
        <v>58.8</v>
      </c>
      <c r="G27" s="36"/>
      <c r="H27" s="25">
        <f t="shared" si="2"/>
        <v>30.8</v>
      </c>
      <c r="I27" s="26">
        <f t="shared" si="0"/>
        <v>58.8</v>
      </c>
      <c r="J27" s="26">
        <f t="shared" si="1"/>
        <v>0</v>
      </c>
    </row>
    <row r="28" spans="1:10" ht="19.5" customHeight="1" x14ac:dyDescent="0.15">
      <c r="A28" s="27"/>
      <c r="B28" s="16" t="s">
        <v>662</v>
      </c>
      <c r="C28" s="23" t="s">
        <v>176</v>
      </c>
      <c r="D28" s="16" t="s">
        <v>426</v>
      </c>
      <c r="E28" s="24">
        <v>7</v>
      </c>
      <c r="F28" s="24">
        <v>14.7</v>
      </c>
      <c r="G28" s="36"/>
      <c r="H28" s="25">
        <f t="shared" si="2"/>
        <v>7.7</v>
      </c>
      <c r="I28" s="26">
        <f t="shared" si="0"/>
        <v>14.7</v>
      </c>
      <c r="J28" s="26">
        <f t="shared" si="1"/>
        <v>0</v>
      </c>
    </row>
    <row r="29" spans="1:10" s="27" customFormat="1" ht="19.5" customHeight="1" x14ac:dyDescent="0.15">
      <c r="B29" s="16" t="s">
        <v>104</v>
      </c>
      <c r="C29" s="23" t="s">
        <v>283</v>
      </c>
      <c r="D29" s="16" t="s">
        <v>670</v>
      </c>
      <c r="E29" s="24">
        <v>10.5</v>
      </c>
      <c r="F29" s="24">
        <v>22.05</v>
      </c>
      <c r="G29" s="36"/>
      <c r="H29" s="25">
        <f t="shared" si="2"/>
        <v>11.55</v>
      </c>
      <c r="I29" s="26">
        <f t="shared" si="0"/>
        <v>22.05</v>
      </c>
      <c r="J29" s="26">
        <f t="shared" si="1"/>
        <v>0</v>
      </c>
    </row>
    <row r="30" spans="1:10" s="27" customFormat="1" ht="19.5" customHeight="1" x14ac:dyDescent="0.15">
      <c r="B30" s="16" t="s">
        <v>446</v>
      </c>
      <c r="C30" s="23" t="s">
        <v>25</v>
      </c>
      <c r="D30" s="16" t="s">
        <v>670</v>
      </c>
      <c r="E30" s="24">
        <v>42</v>
      </c>
      <c r="F30" s="24">
        <v>88.2</v>
      </c>
      <c r="G30" s="36"/>
      <c r="H30" s="25">
        <f t="shared" si="2"/>
        <v>46.2</v>
      </c>
      <c r="I30" s="26">
        <f t="shared" si="0"/>
        <v>88.2</v>
      </c>
      <c r="J30" s="26">
        <f t="shared" si="1"/>
        <v>0</v>
      </c>
    </row>
    <row r="31" spans="1:10" ht="19.5" customHeight="1" x14ac:dyDescent="0.15">
      <c r="B31" s="16" t="s">
        <v>368</v>
      </c>
      <c r="C31" s="23" t="s">
        <v>244</v>
      </c>
      <c r="D31" s="16" t="s">
        <v>670</v>
      </c>
      <c r="E31" s="24">
        <v>10</v>
      </c>
      <c r="F31" s="24">
        <v>21</v>
      </c>
      <c r="G31" s="36"/>
      <c r="H31" s="25">
        <f t="shared" si="2"/>
        <v>11</v>
      </c>
      <c r="I31" s="26">
        <f t="shared" si="0"/>
        <v>21</v>
      </c>
      <c r="J31" s="26">
        <f t="shared" si="1"/>
        <v>0</v>
      </c>
    </row>
    <row r="32" spans="1:10" ht="19.5" customHeight="1" x14ac:dyDescent="0.15">
      <c r="A32" s="27"/>
      <c r="B32" s="16" t="s">
        <v>263</v>
      </c>
      <c r="C32" s="23" t="s">
        <v>268</v>
      </c>
      <c r="D32" s="16" t="s">
        <v>670</v>
      </c>
      <c r="E32" s="24">
        <v>10.5</v>
      </c>
      <c r="F32" s="24">
        <v>22.05</v>
      </c>
      <c r="G32" s="36"/>
      <c r="H32" s="25">
        <f t="shared" si="2"/>
        <v>11.55</v>
      </c>
      <c r="I32" s="26">
        <f t="shared" si="0"/>
        <v>22.05</v>
      </c>
      <c r="J32" s="26">
        <f t="shared" si="1"/>
        <v>0</v>
      </c>
    </row>
    <row r="33" spans="1:10" ht="19.5" customHeight="1" x14ac:dyDescent="0.15">
      <c r="A33" s="27"/>
      <c r="B33" s="16" t="s">
        <v>77</v>
      </c>
      <c r="C33" s="23" t="s">
        <v>167</v>
      </c>
      <c r="D33" s="16" t="s">
        <v>9</v>
      </c>
      <c r="E33" s="24">
        <v>5</v>
      </c>
      <c r="F33" s="24">
        <v>10.5</v>
      </c>
      <c r="G33" s="36"/>
      <c r="H33" s="25">
        <f t="shared" si="2"/>
        <v>5.5</v>
      </c>
      <c r="I33" s="26">
        <f t="shared" si="0"/>
        <v>10.5</v>
      </c>
      <c r="J33" s="26">
        <f t="shared" si="1"/>
        <v>0</v>
      </c>
    </row>
    <row r="34" spans="1:10" ht="19.5" customHeight="1" x14ac:dyDescent="0.15">
      <c r="B34" s="16" t="s">
        <v>470</v>
      </c>
      <c r="C34" s="23" t="s">
        <v>176</v>
      </c>
      <c r="D34" s="16" t="s">
        <v>9</v>
      </c>
      <c r="E34" s="24">
        <v>5</v>
      </c>
      <c r="F34" s="24">
        <v>10.5</v>
      </c>
      <c r="G34" s="36"/>
      <c r="H34" s="25">
        <f t="shared" si="2"/>
        <v>5.5</v>
      </c>
      <c r="I34" s="26">
        <f t="shared" ref="I34:I63" si="3">E34+H34</f>
        <v>10.5</v>
      </c>
      <c r="J34" s="26">
        <f t="shared" ref="J34:J63" si="4">F34-I34</f>
        <v>0</v>
      </c>
    </row>
    <row r="35" spans="1:10" s="27" customFormat="1" ht="19.5" customHeight="1" x14ac:dyDescent="0.15">
      <c r="A35" s="22"/>
      <c r="B35" s="16" t="s">
        <v>42</v>
      </c>
      <c r="C35" s="23" t="s">
        <v>197</v>
      </c>
      <c r="D35" s="16" t="s">
        <v>6</v>
      </c>
      <c r="E35" s="24">
        <v>44</v>
      </c>
      <c r="F35" s="24">
        <v>92.4</v>
      </c>
      <c r="G35" s="36"/>
      <c r="H35" s="25">
        <f t="shared" si="2"/>
        <v>48.4</v>
      </c>
      <c r="I35" s="26">
        <f t="shared" si="3"/>
        <v>92.4</v>
      </c>
      <c r="J35" s="26">
        <f t="shared" si="4"/>
        <v>0</v>
      </c>
    </row>
    <row r="36" spans="1:10" s="27" customFormat="1" ht="19.5" customHeight="1" x14ac:dyDescent="0.15">
      <c r="A36" s="22"/>
      <c r="B36" s="16" t="s">
        <v>251</v>
      </c>
      <c r="C36" s="23" t="s">
        <v>167</v>
      </c>
      <c r="D36" s="16" t="s">
        <v>6</v>
      </c>
      <c r="E36" s="28">
        <v>11</v>
      </c>
      <c r="F36" s="24">
        <v>23.1</v>
      </c>
      <c r="G36" s="36"/>
      <c r="H36" s="25">
        <f t="shared" si="2"/>
        <v>12.1</v>
      </c>
      <c r="I36" s="26">
        <f t="shared" si="3"/>
        <v>23.1</v>
      </c>
      <c r="J36" s="26">
        <f t="shared" si="4"/>
        <v>0</v>
      </c>
    </row>
    <row r="37" spans="1:10" ht="19.5" customHeight="1" x14ac:dyDescent="0.15">
      <c r="B37" s="16" t="s">
        <v>694</v>
      </c>
      <c r="C37" s="23" t="s">
        <v>731</v>
      </c>
      <c r="D37" s="16" t="s">
        <v>6</v>
      </c>
      <c r="E37" s="24">
        <v>44</v>
      </c>
      <c r="F37" s="24">
        <v>92.4</v>
      </c>
      <c r="G37" s="36"/>
      <c r="H37" s="25">
        <f t="shared" si="2"/>
        <v>48.4</v>
      </c>
      <c r="I37" s="26">
        <f t="shared" si="3"/>
        <v>92.4</v>
      </c>
      <c r="J37" s="26">
        <f t="shared" si="4"/>
        <v>0</v>
      </c>
    </row>
    <row r="38" spans="1:10" s="29" customFormat="1" ht="19.5" customHeight="1" x14ac:dyDescent="0.15">
      <c r="A38" s="27"/>
      <c r="B38" s="16" t="s">
        <v>302</v>
      </c>
      <c r="C38" s="23" t="s">
        <v>176</v>
      </c>
      <c r="D38" s="16" t="s">
        <v>6</v>
      </c>
      <c r="E38" s="28">
        <v>11</v>
      </c>
      <c r="F38" s="24">
        <v>23.1</v>
      </c>
      <c r="G38" s="36"/>
      <c r="H38" s="25">
        <f t="shared" si="2"/>
        <v>12.1</v>
      </c>
      <c r="I38" s="26">
        <f t="shared" si="3"/>
        <v>23.1</v>
      </c>
      <c r="J38" s="26">
        <f t="shared" si="4"/>
        <v>0</v>
      </c>
    </row>
    <row r="39" spans="1:10" s="30" customFormat="1" ht="21" customHeight="1" x14ac:dyDescent="0.15">
      <c r="A39" s="27"/>
      <c r="B39" s="16" t="s">
        <v>405</v>
      </c>
      <c r="C39" s="23" t="s">
        <v>197</v>
      </c>
      <c r="D39" s="16" t="s">
        <v>31</v>
      </c>
      <c r="E39" s="24">
        <v>32</v>
      </c>
      <c r="F39" s="24">
        <v>67.2</v>
      </c>
      <c r="G39" s="36"/>
      <c r="H39" s="25">
        <f t="shared" si="2"/>
        <v>35.200000000000003</v>
      </c>
      <c r="I39" s="26">
        <f t="shared" si="3"/>
        <v>67.2</v>
      </c>
      <c r="J39" s="26">
        <f t="shared" si="4"/>
        <v>0</v>
      </c>
    </row>
    <row r="40" spans="1:10" ht="19.5" customHeight="1" x14ac:dyDescent="0.15">
      <c r="B40" s="16" t="s">
        <v>127</v>
      </c>
      <c r="C40" s="23" t="s">
        <v>167</v>
      </c>
      <c r="D40" s="16" t="s">
        <v>31</v>
      </c>
      <c r="E40" s="24">
        <v>8</v>
      </c>
      <c r="F40" s="24">
        <v>16.8</v>
      </c>
      <c r="G40" s="36"/>
      <c r="H40" s="25">
        <f t="shared" si="2"/>
        <v>8.8000000000000007</v>
      </c>
      <c r="I40" s="26">
        <f t="shared" si="3"/>
        <v>16.8</v>
      </c>
      <c r="J40" s="26">
        <f t="shared" si="4"/>
        <v>0</v>
      </c>
    </row>
    <row r="41" spans="1:10" ht="19.5" customHeight="1" x14ac:dyDescent="0.15">
      <c r="A41" s="29"/>
      <c r="B41" s="17" t="s">
        <v>676</v>
      </c>
      <c r="C41" s="31" t="s">
        <v>654</v>
      </c>
      <c r="D41" s="17" t="s">
        <v>274</v>
      </c>
      <c r="E41" s="28">
        <v>10</v>
      </c>
      <c r="F41" s="24">
        <v>21</v>
      </c>
      <c r="G41" s="36"/>
      <c r="H41" s="25">
        <f t="shared" si="2"/>
        <v>11</v>
      </c>
      <c r="I41" s="26">
        <f t="shared" si="3"/>
        <v>21</v>
      </c>
      <c r="J41" s="26">
        <f t="shared" si="4"/>
        <v>0</v>
      </c>
    </row>
    <row r="42" spans="1:10" ht="19.5" customHeight="1" x14ac:dyDescent="0.15">
      <c r="A42" s="30"/>
      <c r="B42" s="17" t="s">
        <v>567</v>
      </c>
      <c r="C42" s="31" t="s">
        <v>701</v>
      </c>
      <c r="D42" s="17" t="s">
        <v>274</v>
      </c>
      <c r="E42" s="28">
        <v>10</v>
      </c>
      <c r="F42" s="24">
        <v>21</v>
      </c>
      <c r="G42" s="36"/>
      <c r="H42" s="25">
        <f t="shared" si="2"/>
        <v>11</v>
      </c>
      <c r="I42" s="26">
        <f t="shared" si="3"/>
        <v>21</v>
      </c>
      <c r="J42" s="26">
        <f t="shared" si="4"/>
        <v>0</v>
      </c>
    </row>
    <row r="43" spans="1:10" ht="19.5" customHeight="1" x14ac:dyDescent="0.15">
      <c r="B43" s="16" t="s">
        <v>589</v>
      </c>
      <c r="C43" s="23" t="s">
        <v>197</v>
      </c>
      <c r="D43" s="16" t="s">
        <v>185</v>
      </c>
      <c r="E43" s="24">
        <v>34</v>
      </c>
      <c r="F43" s="24">
        <v>71.400000000000006</v>
      </c>
      <c r="G43" s="36"/>
      <c r="H43" s="25">
        <f t="shared" si="2"/>
        <v>37.4</v>
      </c>
      <c r="I43" s="26">
        <f t="shared" si="3"/>
        <v>71.400000000000006</v>
      </c>
      <c r="J43" s="26">
        <f t="shared" si="4"/>
        <v>0</v>
      </c>
    </row>
    <row r="44" spans="1:10" ht="19.5" customHeight="1" x14ac:dyDescent="0.15">
      <c r="B44" s="16" t="s">
        <v>392</v>
      </c>
      <c r="C44" s="23" t="s">
        <v>167</v>
      </c>
      <c r="D44" s="16" t="s">
        <v>185</v>
      </c>
      <c r="E44" s="24">
        <v>8.5</v>
      </c>
      <c r="F44" s="24">
        <v>17.850000000000001</v>
      </c>
      <c r="G44" s="36"/>
      <c r="H44" s="25">
        <f t="shared" si="2"/>
        <v>9.35</v>
      </c>
      <c r="I44" s="26">
        <f t="shared" si="3"/>
        <v>17.850000000000001</v>
      </c>
      <c r="J44" s="26">
        <f t="shared" si="4"/>
        <v>0</v>
      </c>
    </row>
    <row r="45" spans="1:10" ht="19.5" customHeight="1" x14ac:dyDescent="0.15">
      <c r="B45" s="16" t="s">
        <v>458</v>
      </c>
      <c r="C45" s="23" t="s">
        <v>731</v>
      </c>
      <c r="D45" s="16" t="s">
        <v>185</v>
      </c>
      <c r="E45" s="24">
        <v>34</v>
      </c>
      <c r="F45" s="24">
        <v>71.400000000000006</v>
      </c>
      <c r="G45" s="36"/>
      <c r="H45" s="25">
        <f t="shared" si="2"/>
        <v>37.4</v>
      </c>
      <c r="I45" s="26">
        <f t="shared" si="3"/>
        <v>71.400000000000006</v>
      </c>
      <c r="J45" s="26">
        <f t="shared" si="4"/>
        <v>0</v>
      </c>
    </row>
    <row r="46" spans="1:10" ht="19.5" customHeight="1" x14ac:dyDescent="0.15">
      <c r="B46" s="16" t="s">
        <v>419</v>
      </c>
      <c r="C46" s="23" t="s">
        <v>176</v>
      </c>
      <c r="D46" s="16" t="s">
        <v>185</v>
      </c>
      <c r="E46" s="24">
        <v>8.5</v>
      </c>
      <c r="F46" s="24">
        <v>17.850000000000001</v>
      </c>
      <c r="G46" s="36"/>
      <c r="H46" s="25">
        <f t="shared" si="2"/>
        <v>9.35</v>
      </c>
      <c r="I46" s="26">
        <f t="shared" si="3"/>
        <v>17.850000000000001</v>
      </c>
      <c r="J46" s="26">
        <f t="shared" si="4"/>
        <v>0</v>
      </c>
    </row>
    <row r="47" spans="1:10" ht="9" customHeight="1" x14ac:dyDescent="0.15">
      <c r="B47" s="16" t="s">
        <v>490</v>
      </c>
      <c r="C47" s="23" t="s">
        <v>222</v>
      </c>
      <c r="D47" s="16" t="s">
        <v>478</v>
      </c>
      <c r="E47" s="24">
        <v>35</v>
      </c>
      <c r="F47" s="24">
        <v>73.5</v>
      </c>
      <c r="G47" s="36"/>
      <c r="H47" s="25">
        <f t="shared" si="2"/>
        <v>38.5</v>
      </c>
      <c r="I47" s="26">
        <f t="shared" si="3"/>
        <v>73.5</v>
      </c>
      <c r="J47" s="26">
        <f t="shared" si="4"/>
        <v>0</v>
      </c>
    </row>
    <row r="48" spans="1:10" ht="15" x14ac:dyDescent="0.15">
      <c r="B48" s="16" t="s">
        <v>438</v>
      </c>
      <c r="C48" s="23" t="s">
        <v>775</v>
      </c>
      <c r="D48" s="16" t="s">
        <v>478</v>
      </c>
      <c r="E48" s="24">
        <v>7</v>
      </c>
      <c r="F48" s="24">
        <v>14.7</v>
      </c>
      <c r="G48" s="36"/>
      <c r="H48" s="25">
        <f t="shared" si="2"/>
        <v>7.7</v>
      </c>
      <c r="I48" s="26">
        <f t="shared" si="3"/>
        <v>14.7</v>
      </c>
      <c r="J48" s="26">
        <f t="shared" si="4"/>
        <v>0</v>
      </c>
    </row>
    <row r="49" spans="2:10" ht="18" customHeight="1" x14ac:dyDescent="0.15">
      <c r="B49" s="16" t="s">
        <v>578</v>
      </c>
      <c r="C49" s="23" t="s">
        <v>527</v>
      </c>
      <c r="D49" s="16" t="s">
        <v>478</v>
      </c>
      <c r="E49" s="24">
        <v>35</v>
      </c>
      <c r="F49" s="24">
        <v>73.5</v>
      </c>
      <c r="G49" s="36"/>
      <c r="H49" s="25">
        <f t="shared" si="2"/>
        <v>38.5</v>
      </c>
      <c r="I49" s="26">
        <f t="shared" si="3"/>
        <v>73.5</v>
      </c>
      <c r="J49" s="26">
        <f t="shared" si="4"/>
        <v>0</v>
      </c>
    </row>
    <row r="50" spans="2:10" ht="18" customHeight="1" x14ac:dyDescent="0.15">
      <c r="B50" s="16" t="s">
        <v>552</v>
      </c>
      <c r="C50" s="23" t="s">
        <v>322</v>
      </c>
      <c r="D50" s="16" t="s">
        <v>478</v>
      </c>
      <c r="E50" s="24">
        <v>7</v>
      </c>
      <c r="F50" s="24">
        <v>14.7</v>
      </c>
      <c r="G50" s="36"/>
      <c r="H50" s="25">
        <f t="shared" si="2"/>
        <v>7.7</v>
      </c>
      <c r="I50" s="26">
        <f t="shared" si="3"/>
        <v>14.7</v>
      </c>
      <c r="J50" s="26">
        <f t="shared" si="4"/>
        <v>0</v>
      </c>
    </row>
    <row r="51" spans="2:10" ht="18" customHeight="1" x14ac:dyDescent="0.15">
      <c r="B51" s="16" t="s">
        <v>474</v>
      </c>
      <c r="C51" s="23" t="s">
        <v>355</v>
      </c>
      <c r="D51" s="16" t="s">
        <v>724</v>
      </c>
      <c r="E51" s="24">
        <v>13</v>
      </c>
      <c r="F51" s="24">
        <v>27.3</v>
      </c>
      <c r="G51" s="36"/>
      <c r="H51" s="25">
        <f t="shared" si="2"/>
        <v>14.3</v>
      </c>
      <c r="I51" s="26">
        <f t="shared" si="3"/>
        <v>27.3</v>
      </c>
      <c r="J51" s="26">
        <f t="shared" si="4"/>
        <v>0</v>
      </c>
    </row>
    <row r="52" spans="2:10" ht="18" customHeight="1" x14ac:dyDescent="0.15">
      <c r="B52" s="16" t="s">
        <v>491</v>
      </c>
      <c r="C52" s="23" t="s">
        <v>505</v>
      </c>
      <c r="D52" s="16" t="s">
        <v>724</v>
      </c>
      <c r="E52" s="28">
        <v>13</v>
      </c>
      <c r="F52" s="24">
        <v>27.3</v>
      </c>
      <c r="G52" s="36"/>
      <c r="H52" s="25">
        <f t="shared" si="2"/>
        <v>14.3</v>
      </c>
      <c r="I52" s="26">
        <f t="shared" si="3"/>
        <v>27.3</v>
      </c>
      <c r="J52" s="26">
        <f t="shared" si="4"/>
        <v>0</v>
      </c>
    </row>
    <row r="53" spans="2:10" ht="18" customHeight="1" x14ac:dyDescent="0.15">
      <c r="B53" s="16" t="s">
        <v>140</v>
      </c>
      <c r="C53" s="23" t="s">
        <v>775</v>
      </c>
      <c r="D53" s="16" t="s">
        <v>773</v>
      </c>
      <c r="E53" s="28">
        <v>8.5</v>
      </c>
      <c r="F53" s="24">
        <v>17.850000000000001</v>
      </c>
      <c r="G53" s="36"/>
      <c r="H53" s="25">
        <f t="shared" si="2"/>
        <v>9.35</v>
      </c>
      <c r="I53" s="26">
        <f t="shared" si="3"/>
        <v>17.850000000000001</v>
      </c>
      <c r="J53" s="26">
        <f t="shared" si="4"/>
        <v>0</v>
      </c>
    </row>
    <row r="54" spans="2:10" ht="18" customHeight="1" x14ac:dyDescent="0.15">
      <c r="B54" s="16" t="s">
        <v>683</v>
      </c>
      <c r="C54" s="23" t="s">
        <v>322</v>
      </c>
      <c r="D54" s="16" t="s">
        <v>773</v>
      </c>
      <c r="E54" s="28">
        <v>8.5</v>
      </c>
      <c r="F54" s="24">
        <v>17.850000000000001</v>
      </c>
      <c r="G54" s="36"/>
      <c r="H54" s="25">
        <f t="shared" si="2"/>
        <v>9.35</v>
      </c>
      <c r="I54" s="26">
        <f t="shared" si="3"/>
        <v>17.850000000000001</v>
      </c>
      <c r="J54" s="26">
        <f t="shared" si="4"/>
        <v>0</v>
      </c>
    </row>
    <row r="55" spans="2:10" ht="18" customHeight="1" x14ac:dyDescent="0.15">
      <c r="B55" s="16" t="s">
        <v>298</v>
      </c>
      <c r="C55" s="23" t="s">
        <v>222</v>
      </c>
      <c r="D55" s="16" t="s">
        <v>464</v>
      </c>
      <c r="E55" s="24">
        <v>32</v>
      </c>
      <c r="F55" s="24">
        <v>67.2</v>
      </c>
      <c r="G55" s="36"/>
      <c r="H55" s="25">
        <f t="shared" si="2"/>
        <v>35.200000000000003</v>
      </c>
      <c r="I55" s="26">
        <f t="shared" si="3"/>
        <v>67.2</v>
      </c>
      <c r="J55" s="26">
        <f t="shared" si="4"/>
        <v>0</v>
      </c>
    </row>
    <row r="56" spans="2:10" ht="18" customHeight="1" x14ac:dyDescent="0.15">
      <c r="B56" s="16" t="s">
        <v>217</v>
      </c>
      <c r="C56" s="23" t="s">
        <v>775</v>
      </c>
      <c r="D56" s="16" t="s">
        <v>464</v>
      </c>
      <c r="E56" s="24">
        <v>8</v>
      </c>
      <c r="F56" s="24">
        <v>16.8</v>
      </c>
      <c r="G56" s="36"/>
      <c r="H56" s="25">
        <f t="shared" si="2"/>
        <v>8.8000000000000007</v>
      </c>
      <c r="I56" s="26">
        <f t="shared" si="3"/>
        <v>16.8</v>
      </c>
      <c r="J56" s="26">
        <f t="shared" si="4"/>
        <v>0</v>
      </c>
    </row>
    <row r="57" spans="2:10" ht="18" customHeight="1" x14ac:dyDescent="0.15">
      <c r="B57" s="16" t="s">
        <v>472</v>
      </c>
      <c r="C57" s="23" t="s">
        <v>527</v>
      </c>
      <c r="D57" s="16" t="s">
        <v>464</v>
      </c>
      <c r="E57" s="24">
        <v>32</v>
      </c>
      <c r="F57" s="24">
        <v>67.2</v>
      </c>
      <c r="G57" s="36"/>
      <c r="H57" s="25">
        <f t="shared" si="2"/>
        <v>35.200000000000003</v>
      </c>
      <c r="I57" s="26">
        <f t="shared" si="3"/>
        <v>67.2</v>
      </c>
      <c r="J57" s="26">
        <f t="shared" si="4"/>
        <v>0</v>
      </c>
    </row>
    <row r="58" spans="2:10" ht="18" customHeight="1" x14ac:dyDescent="0.15">
      <c r="B58" s="16" t="s">
        <v>76</v>
      </c>
      <c r="C58" s="23" t="s">
        <v>322</v>
      </c>
      <c r="D58" s="16" t="s">
        <v>464</v>
      </c>
      <c r="E58" s="24">
        <v>8</v>
      </c>
      <c r="F58" s="24">
        <v>16.8</v>
      </c>
      <c r="G58" s="36"/>
      <c r="H58" s="25">
        <f t="shared" si="2"/>
        <v>8.8000000000000007</v>
      </c>
      <c r="I58" s="26">
        <f t="shared" si="3"/>
        <v>16.8</v>
      </c>
      <c r="J58" s="26">
        <f t="shared" si="4"/>
        <v>0</v>
      </c>
    </row>
    <row r="59" spans="2:10" ht="18" customHeight="1" x14ac:dyDescent="0.15">
      <c r="B59" s="16" t="s">
        <v>435</v>
      </c>
      <c r="C59" s="23" t="s">
        <v>775</v>
      </c>
      <c r="D59" s="16" t="s">
        <v>481</v>
      </c>
      <c r="E59" s="24">
        <v>9</v>
      </c>
      <c r="F59" s="24">
        <v>18.899999999999999</v>
      </c>
      <c r="G59" s="36"/>
      <c r="H59" s="25">
        <f t="shared" si="2"/>
        <v>9.9</v>
      </c>
      <c r="I59" s="26">
        <f t="shared" si="3"/>
        <v>18.899999999999999</v>
      </c>
      <c r="J59" s="26">
        <f t="shared" si="4"/>
        <v>0</v>
      </c>
    </row>
    <row r="60" spans="2:10" ht="18" customHeight="1" x14ac:dyDescent="0.15">
      <c r="B60" s="16" t="s">
        <v>666</v>
      </c>
      <c r="C60" s="23" t="s">
        <v>322</v>
      </c>
      <c r="D60" s="16" t="s">
        <v>481</v>
      </c>
      <c r="E60" s="24">
        <v>9</v>
      </c>
      <c r="F60" s="24">
        <v>18.899999999999999</v>
      </c>
      <c r="G60" s="36"/>
      <c r="H60" s="25">
        <f t="shared" si="2"/>
        <v>9.9</v>
      </c>
      <c r="I60" s="26">
        <f t="shared" si="3"/>
        <v>18.899999999999999</v>
      </c>
      <c r="J60" s="26">
        <f t="shared" si="4"/>
        <v>0</v>
      </c>
    </row>
    <row r="61" spans="2:10" ht="18" customHeight="1" x14ac:dyDescent="0.15">
      <c r="B61" s="16" t="s">
        <v>651</v>
      </c>
      <c r="C61" s="23" t="s">
        <v>331</v>
      </c>
      <c r="D61" s="16" t="s">
        <v>759</v>
      </c>
      <c r="E61" s="24"/>
      <c r="F61" s="24">
        <v>0</v>
      </c>
      <c r="G61" s="36"/>
      <c r="H61" s="25">
        <f t="shared" si="2"/>
        <v>0</v>
      </c>
      <c r="I61" s="26">
        <f t="shared" si="3"/>
        <v>0</v>
      </c>
      <c r="J61" s="26">
        <f t="shared" si="4"/>
        <v>0</v>
      </c>
    </row>
    <row r="62" spans="2:10" ht="18" customHeight="1" x14ac:dyDescent="0.15">
      <c r="B62" s="16" t="s">
        <v>723</v>
      </c>
      <c r="C62" s="23" t="s">
        <v>775</v>
      </c>
      <c r="D62" s="16" t="s">
        <v>759</v>
      </c>
      <c r="E62" s="24">
        <v>6.75</v>
      </c>
      <c r="F62" s="24">
        <v>14.175000000000001</v>
      </c>
      <c r="G62" s="36"/>
      <c r="H62" s="25">
        <f t="shared" si="2"/>
        <v>7.4249999999999998</v>
      </c>
      <c r="I62" s="26">
        <f t="shared" si="3"/>
        <v>14.175000000000001</v>
      </c>
      <c r="J62" s="26">
        <f t="shared" si="4"/>
        <v>0</v>
      </c>
    </row>
    <row r="63" spans="2:10" ht="18" customHeight="1" x14ac:dyDescent="0.15">
      <c r="B63" s="16" t="s">
        <v>646</v>
      </c>
      <c r="C63" s="23" t="s">
        <v>64</v>
      </c>
      <c r="D63" s="16" t="s">
        <v>759</v>
      </c>
      <c r="E63" s="24"/>
      <c r="F63" s="24">
        <v>0</v>
      </c>
      <c r="G63" s="36"/>
      <c r="H63" s="25">
        <f t="shared" si="2"/>
        <v>0</v>
      </c>
      <c r="I63" s="26">
        <f t="shared" si="3"/>
        <v>0</v>
      </c>
      <c r="J63" s="26">
        <f t="shared" si="4"/>
        <v>0</v>
      </c>
    </row>
    <row r="64" spans="2:10" ht="18" customHeight="1" x14ac:dyDescent="0.15">
      <c r="B64" s="16" t="s">
        <v>448</v>
      </c>
      <c r="C64" s="23" t="s">
        <v>322</v>
      </c>
      <c r="D64" s="16" t="s">
        <v>759</v>
      </c>
      <c r="E64" s="24">
        <v>6.75</v>
      </c>
      <c r="F64" s="24">
        <v>14.175000000000001</v>
      </c>
      <c r="G64" s="36"/>
      <c r="H64" s="25">
        <f t="shared" si="2"/>
        <v>7.4249999999999998</v>
      </c>
      <c r="I64" s="26">
        <f t="shared" ref="I64:I95" si="5">E64+H64</f>
        <v>14.175000000000001</v>
      </c>
      <c r="J64" s="26">
        <f t="shared" ref="J64:J95" si="6">F64-I64</f>
        <v>0</v>
      </c>
    </row>
    <row r="65" spans="1:11" ht="18" customHeight="1" x14ac:dyDescent="0.15">
      <c r="B65" s="16" t="s">
        <v>728</v>
      </c>
      <c r="C65" s="23" t="s">
        <v>222</v>
      </c>
      <c r="D65" s="16" t="s">
        <v>688</v>
      </c>
      <c r="E65" s="24">
        <v>36</v>
      </c>
      <c r="F65" s="24">
        <v>75.599999999999994</v>
      </c>
      <c r="G65" s="36"/>
      <c r="H65" s="25">
        <f t="shared" ref="H65:H118" si="7">E65*110/100</f>
        <v>39.6</v>
      </c>
      <c r="I65" s="26">
        <f t="shared" si="5"/>
        <v>75.599999999999994</v>
      </c>
      <c r="J65" s="26">
        <f t="shared" si="6"/>
        <v>0</v>
      </c>
      <c r="K65" s="29"/>
    </row>
    <row r="66" spans="1:11" ht="18" customHeight="1" x14ac:dyDescent="0.15">
      <c r="A66" s="29"/>
      <c r="B66" s="17" t="s">
        <v>778</v>
      </c>
      <c r="C66" s="31" t="s">
        <v>775</v>
      </c>
      <c r="D66" s="17" t="s">
        <v>688</v>
      </c>
      <c r="E66" s="28">
        <v>9</v>
      </c>
      <c r="F66" s="28">
        <v>18.899999999999999</v>
      </c>
      <c r="G66" s="37"/>
      <c r="H66" s="25">
        <f t="shared" si="7"/>
        <v>9.9</v>
      </c>
      <c r="I66" s="26">
        <f t="shared" si="5"/>
        <v>18.899999999999999</v>
      </c>
      <c r="J66" s="26">
        <f t="shared" si="6"/>
        <v>0</v>
      </c>
      <c r="K66" s="29"/>
    </row>
    <row r="67" spans="1:11" s="29" customFormat="1" ht="18" customHeight="1" x14ac:dyDescent="0.15">
      <c r="B67" s="17" t="s">
        <v>68</v>
      </c>
      <c r="C67" s="31" t="s">
        <v>322</v>
      </c>
      <c r="D67" s="17" t="s">
        <v>688</v>
      </c>
      <c r="E67" s="28">
        <v>9</v>
      </c>
      <c r="F67" s="28">
        <v>18.899999999999999</v>
      </c>
      <c r="G67" s="37"/>
      <c r="H67" s="25">
        <f t="shared" si="7"/>
        <v>9.9</v>
      </c>
      <c r="I67" s="26">
        <f t="shared" si="5"/>
        <v>18.899999999999999</v>
      </c>
      <c r="J67" s="26">
        <f t="shared" si="6"/>
        <v>0</v>
      </c>
    </row>
    <row r="68" spans="1:11" s="29" customFormat="1" ht="18" customHeight="1" x14ac:dyDescent="0.15">
      <c r="B68" s="17" t="s">
        <v>247</v>
      </c>
      <c r="C68" s="31" t="s">
        <v>643</v>
      </c>
      <c r="D68" s="17" t="s">
        <v>588</v>
      </c>
      <c r="E68" s="28">
        <v>5.5</v>
      </c>
      <c r="F68" s="28">
        <v>11.55</v>
      </c>
      <c r="G68" s="37"/>
      <c r="H68" s="25">
        <f t="shared" si="7"/>
        <v>6.05</v>
      </c>
      <c r="I68" s="26">
        <f t="shared" si="5"/>
        <v>11.55</v>
      </c>
      <c r="J68" s="26">
        <f t="shared" si="6"/>
        <v>0</v>
      </c>
    </row>
    <row r="69" spans="1:11" s="29" customFormat="1" ht="18" customHeight="1" x14ac:dyDescent="0.15">
      <c r="B69" s="17" t="s">
        <v>661</v>
      </c>
      <c r="C69" s="31" t="s">
        <v>322</v>
      </c>
      <c r="D69" s="17" t="s">
        <v>588</v>
      </c>
      <c r="E69" s="28">
        <v>5.5</v>
      </c>
      <c r="F69" s="24">
        <v>11.55</v>
      </c>
      <c r="G69" s="36"/>
      <c r="H69" s="25">
        <f t="shared" si="7"/>
        <v>6.05</v>
      </c>
      <c r="I69" s="26">
        <f t="shared" si="5"/>
        <v>11.55</v>
      </c>
      <c r="J69" s="26">
        <f t="shared" si="6"/>
        <v>0</v>
      </c>
      <c r="K69" s="22"/>
    </row>
    <row r="70" spans="1:11" s="29" customFormat="1" ht="18" customHeight="1" x14ac:dyDescent="0.15">
      <c r="B70" s="17" t="s">
        <v>160</v>
      </c>
      <c r="C70" s="31" t="s">
        <v>775</v>
      </c>
      <c r="D70" s="17" t="s">
        <v>597</v>
      </c>
      <c r="E70" s="28">
        <v>8.5</v>
      </c>
      <c r="F70" s="28">
        <v>17.850000000000001</v>
      </c>
      <c r="G70" s="37"/>
      <c r="H70" s="25">
        <f t="shared" si="7"/>
        <v>9.35</v>
      </c>
      <c r="I70" s="26">
        <f t="shared" si="5"/>
        <v>17.850000000000001</v>
      </c>
      <c r="J70" s="26">
        <f t="shared" si="6"/>
        <v>0</v>
      </c>
    </row>
    <row r="71" spans="1:11" ht="18" customHeight="1" x14ac:dyDescent="0.15">
      <c r="A71" s="29"/>
      <c r="B71" s="17" t="s">
        <v>640</v>
      </c>
      <c r="C71" s="31" t="s">
        <v>322</v>
      </c>
      <c r="D71" s="17" t="s">
        <v>597</v>
      </c>
      <c r="E71" s="28">
        <v>8.5</v>
      </c>
      <c r="F71" s="28">
        <v>17.850000000000001</v>
      </c>
      <c r="G71" s="37"/>
      <c r="H71" s="25">
        <f t="shared" si="7"/>
        <v>9.35</v>
      </c>
      <c r="I71" s="26">
        <f t="shared" si="5"/>
        <v>17.850000000000001</v>
      </c>
      <c r="J71" s="26">
        <f t="shared" si="6"/>
        <v>0</v>
      </c>
      <c r="K71" s="29"/>
    </row>
    <row r="72" spans="1:11" s="29" customFormat="1" ht="18" customHeight="1" x14ac:dyDescent="0.15">
      <c r="A72" s="22"/>
      <c r="B72" s="16" t="s">
        <v>367</v>
      </c>
      <c r="C72" s="23" t="s">
        <v>61</v>
      </c>
      <c r="D72" s="16" t="s">
        <v>73</v>
      </c>
      <c r="E72" s="24">
        <v>9</v>
      </c>
      <c r="F72" s="24">
        <v>18.899999999999999</v>
      </c>
      <c r="G72" s="36"/>
      <c r="H72" s="25">
        <f t="shared" si="7"/>
        <v>9.9</v>
      </c>
      <c r="I72" s="26">
        <f t="shared" si="5"/>
        <v>18.899999999999999</v>
      </c>
      <c r="J72" s="26">
        <f t="shared" si="6"/>
        <v>0</v>
      </c>
      <c r="K72" s="22"/>
    </row>
    <row r="73" spans="1:11" s="29" customFormat="1" ht="18" customHeight="1" x14ac:dyDescent="0.15">
      <c r="B73" s="17" t="s">
        <v>819</v>
      </c>
      <c r="C73" s="31" t="s">
        <v>820</v>
      </c>
      <c r="D73" s="16" t="s">
        <v>73</v>
      </c>
      <c r="E73" s="28">
        <v>36</v>
      </c>
      <c r="F73" s="28">
        <v>75.599999999999994</v>
      </c>
      <c r="G73" s="37"/>
      <c r="H73" s="25">
        <f t="shared" si="7"/>
        <v>39.6</v>
      </c>
      <c r="I73" s="25">
        <f t="shared" si="5"/>
        <v>75.599999999999994</v>
      </c>
      <c r="J73" s="25">
        <f t="shared" si="6"/>
        <v>0</v>
      </c>
    </row>
    <row r="74" spans="1:11" ht="18" customHeight="1" x14ac:dyDescent="0.15">
      <c r="B74" s="16" t="s">
        <v>755</v>
      </c>
      <c r="C74" s="23" t="s">
        <v>355</v>
      </c>
      <c r="D74" s="16" t="s">
        <v>73</v>
      </c>
      <c r="E74" s="24">
        <v>9</v>
      </c>
      <c r="F74" s="24">
        <v>18.899999999999999</v>
      </c>
      <c r="G74" s="36"/>
      <c r="H74" s="25">
        <f t="shared" si="7"/>
        <v>9.9</v>
      </c>
      <c r="I74" s="26">
        <f t="shared" si="5"/>
        <v>18.899999999999999</v>
      </c>
      <c r="J74" s="26">
        <f t="shared" si="6"/>
        <v>0</v>
      </c>
    </row>
    <row r="75" spans="1:11" s="29" customFormat="1" ht="18" customHeight="1" x14ac:dyDescent="0.15">
      <c r="A75" s="22"/>
      <c r="B75" s="16" t="s">
        <v>156</v>
      </c>
      <c r="C75" s="23" t="s">
        <v>424</v>
      </c>
      <c r="D75" s="11" t="s">
        <v>685</v>
      </c>
      <c r="E75" s="24">
        <v>9</v>
      </c>
      <c r="F75" s="24">
        <v>18.899999999999999</v>
      </c>
      <c r="G75" s="36"/>
      <c r="H75" s="25">
        <f t="shared" si="7"/>
        <v>9.9</v>
      </c>
      <c r="I75" s="26">
        <f t="shared" si="5"/>
        <v>18.899999999999999</v>
      </c>
      <c r="J75" s="26">
        <f t="shared" si="6"/>
        <v>0</v>
      </c>
      <c r="K75" s="22"/>
    </row>
    <row r="76" spans="1:11" ht="18" customHeight="1" x14ac:dyDescent="0.15">
      <c r="B76" s="16" t="s">
        <v>311</v>
      </c>
      <c r="C76" s="23" t="s">
        <v>540</v>
      </c>
      <c r="D76" s="11" t="s">
        <v>685</v>
      </c>
      <c r="E76" s="24">
        <v>9</v>
      </c>
      <c r="F76" s="24">
        <v>18.899999999999999</v>
      </c>
      <c r="G76" s="36"/>
      <c r="H76" s="25">
        <f t="shared" si="7"/>
        <v>9.9</v>
      </c>
      <c r="I76" s="26">
        <f t="shared" si="5"/>
        <v>18.899999999999999</v>
      </c>
      <c r="J76" s="26">
        <f t="shared" si="6"/>
        <v>0</v>
      </c>
    </row>
    <row r="77" spans="1:11" ht="18" customHeight="1" x14ac:dyDescent="0.15">
      <c r="B77" s="16" t="s">
        <v>381</v>
      </c>
      <c r="C77" s="23" t="s">
        <v>463</v>
      </c>
      <c r="D77" s="11" t="s">
        <v>685</v>
      </c>
      <c r="E77" s="24">
        <v>9</v>
      </c>
      <c r="F77" s="24">
        <v>18.899999999999999</v>
      </c>
      <c r="G77" s="36"/>
      <c r="H77" s="25">
        <f t="shared" si="7"/>
        <v>9.9</v>
      </c>
      <c r="I77" s="26">
        <f t="shared" si="5"/>
        <v>18.899999999999999</v>
      </c>
      <c r="J77" s="26">
        <f t="shared" si="6"/>
        <v>0</v>
      </c>
    </row>
    <row r="78" spans="1:11" ht="18" customHeight="1" x14ac:dyDescent="0.15">
      <c r="B78" s="16" t="s">
        <v>99</v>
      </c>
      <c r="C78" s="23" t="s">
        <v>153</v>
      </c>
      <c r="D78" s="16" t="s">
        <v>87</v>
      </c>
      <c r="E78" s="24">
        <v>12</v>
      </c>
      <c r="F78" s="24">
        <v>25.2</v>
      </c>
      <c r="G78" s="36"/>
      <c r="H78" s="25">
        <f t="shared" si="7"/>
        <v>13.2</v>
      </c>
      <c r="I78" s="26">
        <f t="shared" si="5"/>
        <v>25.2</v>
      </c>
      <c r="J78" s="26">
        <f t="shared" si="6"/>
        <v>0</v>
      </c>
    </row>
    <row r="79" spans="1:11" ht="18" customHeight="1" x14ac:dyDescent="0.15">
      <c r="B79" s="16" t="s">
        <v>12</v>
      </c>
      <c r="C79" s="23" t="s">
        <v>775</v>
      </c>
      <c r="D79" s="16" t="s">
        <v>426</v>
      </c>
      <c r="E79" s="24">
        <v>7.5</v>
      </c>
      <c r="F79" s="24">
        <v>15.75</v>
      </c>
      <c r="G79" s="36"/>
      <c r="H79" s="25">
        <f t="shared" si="7"/>
        <v>8.25</v>
      </c>
      <c r="I79" s="26">
        <f t="shared" si="5"/>
        <v>15.75</v>
      </c>
      <c r="J79" s="26">
        <f t="shared" si="6"/>
        <v>0</v>
      </c>
    </row>
    <row r="80" spans="1:11" ht="18" customHeight="1" x14ac:dyDescent="0.15">
      <c r="B80" s="16" t="s">
        <v>396</v>
      </c>
      <c r="C80" s="23" t="s">
        <v>322</v>
      </c>
      <c r="D80" s="16" t="s">
        <v>426</v>
      </c>
      <c r="E80" s="24">
        <v>7.5</v>
      </c>
      <c r="F80" s="24">
        <v>15.75</v>
      </c>
      <c r="G80" s="36"/>
      <c r="H80" s="25">
        <f t="shared" si="7"/>
        <v>8.25</v>
      </c>
      <c r="I80" s="26">
        <f t="shared" si="5"/>
        <v>15.75</v>
      </c>
      <c r="J80" s="26">
        <f t="shared" si="6"/>
        <v>0</v>
      </c>
    </row>
    <row r="81" spans="1:11" ht="18" customHeight="1" x14ac:dyDescent="0.15">
      <c r="B81" s="16" t="s">
        <v>316</v>
      </c>
      <c r="C81" s="23" t="s">
        <v>404</v>
      </c>
      <c r="D81" s="16" t="s">
        <v>670</v>
      </c>
      <c r="E81" s="24">
        <v>12.5</v>
      </c>
      <c r="F81" s="24">
        <v>26.25</v>
      </c>
      <c r="G81" s="36"/>
      <c r="H81" s="25">
        <f t="shared" si="7"/>
        <v>13.75</v>
      </c>
      <c r="I81" s="26">
        <f t="shared" si="5"/>
        <v>26.25</v>
      </c>
      <c r="J81" s="26">
        <f t="shared" si="6"/>
        <v>0</v>
      </c>
    </row>
    <row r="82" spans="1:11" ht="18" customHeight="1" x14ac:dyDescent="0.15">
      <c r="B82" s="16" t="s">
        <v>716</v>
      </c>
      <c r="C82" s="23" t="s">
        <v>607</v>
      </c>
      <c r="D82" s="16" t="s">
        <v>670</v>
      </c>
      <c r="E82" s="24">
        <v>12.5</v>
      </c>
      <c r="F82" s="24">
        <v>26.25</v>
      </c>
      <c r="G82" s="36"/>
      <c r="H82" s="25">
        <f t="shared" si="7"/>
        <v>13.75</v>
      </c>
      <c r="I82" s="26">
        <f t="shared" si="5"/>
        <v>26.25</v>
      </c>
      <c r="J82" s="26">
        <f t="shared" si="6"/>
        <v>0</v>
      </c>
      <c r="K82" s="29"/>
    </row>
    <row r="83" spans="1:11" ht="18" customHeight="1" x14ac:dyDescent="0.15">
      <c r="B83" s="16" t="s">
        <v>645</v>
      </c>
      <c r="C83" s="23" t="s">
        <v>775</v>
      </c>
      <c r="D83" s="16" t="s">
        <v>9</v>
      </c>
      <c r="E83" s="24">
        <v>5.5</v>
      </c>
      <c r="F83" s="24">
        <v>11.55</v>
      </c>
      <c r="G83" s="36"/>
      <c r="H83" s="25">
        <f t="shared" si="7"/>
        <v>6.05</v>
      </c>
      <c r="I83" s="26">
        <f t="shared" si="5"/>
        <v>11.55</v>
      </c>
      <c r="J83" s="26">
        <f t="shared" si="6"/>
        <v>0</v>
      </c>
      <c r="K83" s="29"/>
    </row>
    <row r="84" spans="1:11" s="29" customFormat="1" ht="18" customHeight="1" x14ac:dyDescent="0.15">
      <c r="A84" s="22"/>
      <c r="B84" s="16" t="s">
        <v>562</v>
      </c>
      <c r="C84" s="23" t="s">
        <v>322</v>
      </c>
      <c r="D84" s="16" t="s">
        <v>9</v>
      </c>
      <c r="E84" s="24">
        <v>5.5</v>
      </c>
      <c r="F84" s="24">
        <v>11.55</v>
      </c>
      <c r="G84" s="36"/>
      <c r="H84" s="25">
        <f t="shared" si="7"/>
        <v>6.05</v>
      </c>
      <c r="I84" s="26">
        <f t="shared" si="5"/>
        <v>11.55</v>
      </c>
      <c r="J84" s="26">
        <f t="shared" si="6"/>
        <v>0</v>
      </c>
    </row>
    <row r="85" spans="1:11" s="29" customFormat="1" ht="18" customHeight="1" x14ac:dyDescent="0.15">
      <c r="B85" s="17" t="s">
        <v>187</v>
      </c>
      <c r="C85" s="31" t="s">
        <v>733</v>
      </c>
      <c r="D85" s="17" t="s">
        <v>6</v>
      </c>
      <c r="E85" s="28">
        <v>12</v>
      </c>
      <c r="F85" s="24">
        <v>25.2</v>
      </c>
      <c r="G85" s="36"/>
      <c r="H85" s="25">
        <f t="shared" si="7"/>
        <v>13.2</v>
      </c>
      <c r="I85" s="26">
        <f t="shared" si="5"/>
        <v>25.2</v>
      </c>
      <c r="J85" s="26">
        <f t="shared" si="6"/>
        <v>0</v>
      </c>
    </row>
    <row r="86" spans="1:11" s="29" customFormat="1" ht="18" customHeight="1" x14ac:dyDescent="0.15">
      <c r="B86" s="17" t="s">
        <v>494</v>
      </c>
      <c r="C86" s="31" t="s">
        <v>418</v>
      </c>
      <c r="D86" s="17" t="s">
        <v>6</v>
      </c>
      <c r="E86" s="28">
        <v>12</v>
      </c>
      <c r="F86" s="24">
        <v>25.2</v>
      </c>
      <c r="G86" s="36"/>
      <c r="H86" s="25">
        <f t="shared" si="7"/>
        <v>13.2</v>
      </c>
      <c r="I86" s="26">
        <f t="shared" si="5"/>
        <v>25.2</v>
      </c>
      <c r="J86" s="26">
        <f t="shared" si="6"/>
        <v>0</v>
      </c>
    </row>
    <row r="87" spans="1:11" s="29" customFormat="1" ht="18" customHeight="1" x14ac:dyDescent="0.15">
      <c r="B87" s="17" t="s">
        <v>496</v>
      </c>
      <c r="C87" s="31" t="s">
        <v>222</v>
      </c>
      <c r="D87" s="17" t="s">
        <v>31</v>
      </c>
      <c r="E87" s="28">
        <v>36</v>
      </c>
      <c r="F87" s="24">
        <v>75.599999999999994</v>
      </c>
      <c r="G87" s="36"/>
      <c r="H87" s="25">
        <f t="shared" si="7"/>
        <v>39.6</v>
      </c>
      <c r="I87" s="26">
        <f t="shared" si="5"/>
        <v>75.599999999999994</v>
      </c>
      <c r="J87" s="26">
        <f t="shared" si="6"/>
        <v>0</v>
      </c>
    </row>
    <row r="88" spans="1:11" s="29" customFormat="1" ht="18" customHeight="1" x14ac:dyDescent="0.15">
      <c r="B88" s="17" t="s">
        <v>89</v>
      </c>
      <c r="C88" s="31" t="s">
        <v>775</v>
      </c>
      <c r="D88" s="17" t="s">
        <v>31</v>
      </c>
      <c r="E88" s="28">
        <v>9</v>
      </c>
      <c r="F88" s="24">
        <v>18.899999999999999</v>
      </c>
      <c r="G88" s="36"/>
      <c r="H88" s="25">
        <f t="shared" si="7"/>
        <v>9.9</v>
      </c>
      <c r="I88" s="26">
        <f t="shared" si="5"/>
        <v>18.899999999999999</v>
      </c>
      <c r="J88" s="26">
        <f t="shared" si="6"/>
        <v>0</v>
      </c>
    </row>
    <row r="89" spans="1:11" s="29" customFormat="1" ht="18" customHeight="1" x14ac:dyDescent="0.15">
      <c r="B89" s="17" t="s">
        <v>114</v>
      </c>
      <c r="C89" s="31" t="s">
        <v>527</v>
      </c>
      <c r="D89" s="17" t="s">
        <v>31</v>
      </c>
      <c r="E89" s="28">
        <v>36</v>
      </c>
      <c r="F89" s="24">
        <v>75.599999999999994</v>
      </c>
      <c r="G89" s="36"/>
      <c r="H89" s="25">
        <f t="shared" si="7"/>
        <v>39.6</v>
      </c>
      <c r="I89" s="26">
        <f t="shared" si="5"/>
        <v>75.599999999999994</v>
      </c>
      <c r="J89" s="26">
        <f t="shared" si="6"/>
        <v>0</v>
      </c>
    </row>
    <row r="90" spans="1:11" s="29" customFormat="1" ht="18" customHeight="1" x14ac:dyDescent="0.15">
      <c r="B90" s="17" t="s">
        <v>574</v>
      </c>
      <c r="C90" s="31" t="s">
        <v>322</v>
      </c>
      <c r="D90" s="17" t="s">
        <v>31</v>
      </c>
      <c r="E90" s="28">
        <v>9</v>
      </c>
      <c r="F90" s="24">
        <v>18.899999999999999</v>
      </c>
      <c r="G90" s="36"/>
      <c r="H90" s="25">
        <f t="shared" si="7"/>
        <v>9.9</v>
      </c>
      <c r="I90" s="26">
        <f t="shared" si="5"/>
        <v>18.899999999999999</v>
      </c>
      <c r="J90" s="26">
        <f t="shared" si="6"/>
        <v>0</v>
      </c>
      <c r="K90" s="22"/>
    </row>
    <row r="91" spans="1:11" s="29" customFormat="1" ht="18" customHeight="1" x14ac:dyDescent="0.15">
      <c r="B91" s="17" t="s">
        <v>514</v>
      </c>
      <c r="C91" s="31" t="s">
        <v>581</v>
      </c>
      <c r="D91" s="17" t="s">
        <v>274</v>
      </c>
      <c r="E91" s="28">
        <v>10.5</v>
      </c>
      <c r="F91" s="24">
        <v>22.05</v>
      </c>
      <c r="G91" s="36"/>
      <c r="H91" s="25">
        <f t="shared" si="7"/>
        <v>11.55</v>
      </c>
      <c r="I91" s="26">
        <f t="shared" si="5"/>
        <v>22.05</v>
      </c>
      <c r="J91" s="26">
        <f t="shared" si="6"/>
        <v>0</v>
      </c>
      <c r="K91" s="22"/>
    </row>
    <row r="92" spans="1:11" ht="18" customHeight="1" x14ac:dyDescent="0.15">
      <c r="A92" s="29"/>
      <c r="B92" s="17" t="s">
        <v>208</v>
      </c>
      <c r="C92" s="31" t="s">
        <v>13</v>
      </c>
      <c r="D92" s="17" t="s">
        <v>274</v>
      </c>
      <c r="E92" s="28">
        <v>10.5</v>
      </c>
      <c r="F92" s="24">
        <v>22.05</v>
      </c>
      <c r="G92" s="36"/>
      <c r="H92" s="25">
        <f t="shared" si="7"/>
        <v>11.55</v>
      </c>
      <c r="I92" s="26">
        <f t="shared" si="5"/>
        <v>22.05</v>
      </c>
      <c r="J92" s="26">
        <f t="shared" si="6"/>
        <v>0</v>
      </c>
    </row>
    <row r="93" spans="1:11" ht="18" customHeight="1" x14ac:dyDescent="0.15">
      <c r="B93" s="16" t="s">
        <v>267</v>
      </c>
      <c r="C93" s="23" t="s">
        <v>334</v>
      </c>
      <c r="D93" s="16" t="s">
        <v>185</v>
      </c>
      <c r="E93" s="24">
        <v>36</v>
      </c>
      <c r="F93" s="24">
        <v>75.599999999999994</v>
      </c>
      <c r="G93" s="36"/>
      <c r="H93" s="25">
        <f t="shared" si="7"/>
        <v>39.6</v>
      </c>
      <c r="I93" s="26">
        <f t="shared" si="5"/>
        <v>75.599999999999994</v>
      </c>
      <c r="J93" s="26">
        <f t="shared" si="6"/>
        <v>0</v>
      </c>
    </row>
    <row r="94" spans="1:11" ht="18" customHeight="1" x14ac:dyDescent="0.15">
      <c r="B94" s="16" t="s">
        <v>170</v>
      </c>
      <c r="C94" s="23" t="s">
        <v>10</v>
      </c>
      <c r="D94" s="16" t="s">
        <v>185</v>
      </c>
      <c r="E94" s="24">
        <v>9</v>
      </c>
      <c r="F94" s="24">
        <v>18.899999999999999</v>
      </c>
      <c r="G94" s="36"/>
      <c r="H94" s="25">
        <f t="shared" si="7"/>
        <v>9.9</v>
      </c>
      <c r="I94" s="26">
        <f t="shared" si="5"/>
        <v>18.899999999999999</v>
      </c>
      <c r="J94" s="26">
        <f t="shared" si="6"/>
        <v>0</v>
      </c>
    </row>
    <row r="95" spans="1:11" ht="18" customHeight="1" x14ac:dyDescent="0.15">
      <c r="B95" s="16" t="s">
        <v>780</v>
      </c>
      <c r="C95" s="23" t="s">
        <v>222</v>
      </c>
      <c r="D95" s="16" t="s">
        <v>185</v>
      </c>
      <c r="E95" s="24">
        <v>36</v>
      </c>
      <c r="F95" s="24">
        <v>75.599999999999994</v>
      </c>
      <c r="G95" s="36"/>
      <c r="H95" s="25">
        <f t="shared" si="7"/>
        <v>39.6</v>
      </c>
      <c r="I95" s="26">
        <f t="shared" si="5"/>
        <v>75.599999999999994</v>
      </c>
      <c r="J95" s="26">
        <f t="shared" si="6"/>
        <v>0</v>
      </c>
    </row>
    <row r="96" spans="1:11" ht="18" customHeight="1" x14ac:dyDescent="0.15">
      <c r="B96" s="16" t="s">
        <v>287</v>
      </c>
      <c r="C96" s="23" t="s">
        <v>775</v>
      </c>
      <c r="D96" s="16" t="s">
        <v>185</v>
      </c>
      <c r="E96" s="24">
        <v>9</v>
      </c>
      <c r="F96" s="24">
        <v>18.899999999999999</v>
      </c>
      <c r="G96" s="36"/>
      <c r="H96" s="25">
        <f t="shared" si="7"/>
        <v>9.9</v>
      </c>
      <c r="I96" s="26">
        <f t="shared" ref="I96:I115" si="8">E96+H96</f>
        <v>18.899999999999999</v>
      </c>
      <c r="J96" s="26">
        <f t="shared" ref="J96:J115" si="9">F96-I96</f>
        <v>0</v>
      </c>
    </row>
    <row r="97" spans="1:14" ht="18" customHeight="1" x14ac:dyDescent="0.15">
      <c r="B97" s="16" t="s">
        <v>375</v>
      </c>
      <c r="C97" s="23" t="s">
        <v>527</v>
      </c>
      <c r="D97" s="16" t="s">
        <v>185</v>
      </c>
      <c r="E97" s="24">
        <v>36</v>
      </c>
      <c r="F97" s="24">
        <v>75.599999999999994</v>
      </c>
      <c r="G97" s="36"/>
      <c r="H97" s="25">
        <f t="shared" si="7"/>
        <v>39.6</v>
      </c>
      <c r="I97" s="26">
        <f t="shared" si="8"/>
        <v>75.599999999999994</v>
      </c>
      <c r="J97" s="26">
        <f t="shared" si="9"/>
        <v>0</v>
      </c>
    </row>
    <row r="98" spans="1:14" ht="18" customHeight="1" x14ac:dyDescent="0.15">
      <c r="B98" s="16" t="s">
        <v>548</v>
      </c>
      <c r="C98" s="23" t="s">
        <v>322</v>
      </c>
      <c r="D98" s="16" t="s">
        <v>185</v>
      </c>
      <c r="E98" s="24">
        <v>9</v>
      </c>
      <c r="F98" s="24">
        <v>18.899999999999999</v>
      </c>
      <c r="G98" s="36"/>
      <c r="H98" s="25">
        <f t="shared" si="7"/>
        <v>9.9</v>
      </c>
      <c r="I98" s="26">
        <f t="shared" si="8"/>
        <v>18.899999999999999</v>
      </c>
      <c r="J98" s="26">
        <f t="shared" si="9"/>
        <v>0</v>
      </c>
    </row>
    <row r="99" spans="1:14" ht="18" customHeight="1" x14ac:dyDescent="0.15">
      <c r="B99" s="16" t="s">
        <v>93</v>
      </c>
      <c r="C99" s="23" t="s">
        <v>227</v>
      </c>
      <c r="D99" s="16" t="s">
        <v>6</v>
      </c>
      <c r="E99" s="24">
        <v>14.25</v>
      </c>
      <c r="F99" s="24">
        <v>29.925000000000001</v>
      </c>
      <c r="G99" s="37"/>
      <c r="H99" s="25">
        <f t="shared" si="7"/>
        <v>15.675000000000001</v>
      </c>
      <c r="I99" s="26">
        <f t="shared" si="8"/>
        <v>29.925000000000001</v>
      </c>
      <c r="J99" s="26">
        <f t="shared" si="9"/>
        <v>0</v>
      </c>
    </row>
    <row r="100" spans="1:14" ht="18" customHeight="1" x14ac:dyDescent="0.15">
      <c r="B100" s="16" t="s">
        <v>678</v>
      </c>
      <c r="C100" s="23" t="s">
        <v>742</v>
      </c>
      <c r="D100" s="16" t="s">
        <v>6</v>
      </c>
      <c r="E100" s="24">
        <v>14.5</v>
      </c>
      <c r="F100" s="24">
        <v>30.45</v>
      </c>
      <c r="G100" s="37"/>
      <c r="H100" s="25">
        <f t="shared" si="7"/>
        <v>15.95</v>
      </c>
      <c r="I100" s="26">
        <f t="shared" si="8"/>
        <v>30.45</v>
      </c>
      <c r="J100" s="26">
        <f t="shared" si="9"/>
        <v>0</v>
      </c>
    </row>
    <row r="101" spans="1:14" ht="9" customHeight="1" x14ac:dyDescent="0.15">
      <c r="A101" s="27"/>
      <c r="B101" s="16" t="s">
        <v>59</v>
      </c>
      <c r="C101" s="23" t="s">
        <v>443</v>
      </c>
      <c r="D101" s="16" t="s">
        <v>421</v>
      </c>
      <c r="E101" s="24">
        <v>3.5</v>
      </c>
      <c r="F101" s="24">
        <v>7.35</v>
      </c>
      <c r="G101" s="37"/>
      <c r="H101" s="25">
        <f t="shared" si="7"/>
        <v>3.85</v>
      </c>
      <c r="I101" s="26">
        <f t="shared" si="8"/>
        <v>7.35</v>
      </c>
      <c r="J101" s="26">
        <f t="shared" si="9"/>
        <v>0</v>
      </c>
    </row>
    <row r="102" spans="1:14" ht="15" x14ac:dyDescent="0.15">
      <c r="A102" s="27"/>
      <c r="B102" s="16" t="s">
        <v>583</v>
      </c>
      <c r="C102" s="23" t="s">
        <v>192</v>
      </c>
      <c r="D102" s="16" t="s">
        <v>421</v>
      </c>
      <c r="E102" s="24">
        <v>3.5</v>
      </c>
      <c r="F102" s="24">
        <v>7.35</v>
      </c>
      <c r="G102" s="36"/>
      <c r="H102" s="25">
        <f t="shared" si="7"/>
        <v>3.85</v>
      </c>
      <c r="I102" s="26">
        <f t="shared" si="8"/>
        <v>7.35</v>
      </c>
      <c r="J102" s="26">
        <f t="shared" si="9"/>
        <v>0</v>
      </c>
    </row>
    <row r="103" spans="1:14" ht="18" customHeight="1" x14ac:dyDescent="0.15">
      <c r="A103" s="27"/>
      <c r="B103" s="16" t="s">
        <v>497</v>
      </c>
      <c r="C103" s="23" t="s">
        <v>28</v>
      </c>
      <c r="D103" s="16" t="s">
        <v>421</v>
      </c>
      <c r="E103" s="24">
        <v>4</v>
      </c>
      <c r="F103" s="24">
        <v>8.4</v>
      </c>
      <c r="G103" s="36"/>
      <c r="H103" s="25">
        <f t="shared" si="7"/>
        <v>4.4000000000000004</v>
      </c>
      <c r="I103" s="26">
        <f t="shared" si="8"/>
        <v>8.4</v>
      </c>
      <c r="J103" s="26">
        <f t="shared" si="9"/>
        <v>0</v>
      </c>
    </row>
    <row r="104" spans="1:14" ht="18" customHeight="1" x14ac:dyDescent="0.15">
      <c r="A104" s="27"/>
      <c r="B104" s="16" t="s">
        <v>427</v>
      </c>
      <c r="C104" s="23" t="s">
        <v>502</v>
      </c>
      <c r="D104" s="16" t="s">
        <v>421</v>
      </c>
      <c r="E104" s="24">
        <v>4</v>
      </c>
      <c r="F104" s="24">
        <v>8.4</v>
      </c>
      <c r="G104" s="36"/>
      <c r="H104" s="25">
        <f t="shared" si="7"/>
        <v>4.4000000000000004</v>
      </c>
      <c r="I104" s="26">
        <f t="shared" si="8"/>
        <v>8.4</v>
      </c>
      <c r="J104" s="26">
        <f t="shared" si="9"/>
        <v>0</v>
      </c>
    </row>
    <row r="105" spans="1:14" ht="7.5" customHeight="1" x14ac:dyDescent="0.15">
      <c r="B105" s="16" t="s">
        <v>795</v>
      </c>
      <c r="C105" s="23" t="s">
        <v>798</v>
      </c>
      <c r="D105" s="16" t="s">
        <v>481</v>
      </c>
      <c r="E105" s="24">
        <v>96</v>
      </c>
      <c r="F105" s="24">
        <v>201.6</v>
      </c>
      <c r="G105" s="24">
        <f>M107</f>
        <v>252.56448</v>
      </c>
      <c r="H105" s="25">
        <f t="shared" si="7"/>
        <v>105.6</v>
      </c>
      <c r="I105" s="26">
        <f t="shared" si="8"/>
        <v>201.6</v>
      </c>
      <c r="J105" s="26">
        <f t="shared" si="9"/>
        <v>0</v>
      </c>
      <c r="K105" s="24">
        <f>+F105*16/100</f>
        <v>32.256</v>
      </c>
    </row>
    <row r="106" spans="1:14" ht="15" x14ac:dyDescent="0.15">
      <c r="B106" s="16" t="s">
        <v>796</v>
      </c>
      <c r="C106" s="23" t="s">
        <v>799</v>
      </c>
      <c r="D106" s="16" t="s">
        <v>688</v>
      </c>
      <c r="E106" s="24">
        <v>25</v>
      </c>
      <c r="F106" s="24">
        <v>52.5</v>
      </c>
      <c r="G106" s="24">
        <f t="shared" ref="G106:G113" si="10">M108</f>
        <v>65.771999999999991</v>
      </c>
      <c r="H106" s="25">
        <f t="shared" si="7"/>
        <v>27.5</v>
      </c>
      <c r="I106" s="26">
        <f t="shared" si="8"/>
        <v>52.5</v>
      </c>
      <c r="J106" s="26">
        <f t="shared" si="9"/>
        <v>0</v>
      </c>
      <c r="K106" s="24">
        <f t="shared" ref="K106:K115" si="11">+F106*16/100</f>
        <v>8.4</v>
      </c>
    </row>
    <row r="107" spans="1:14" ht="18" customHeight="1" x14ac:dyDescent="0.15">
      <c r="B107" s="16" t="s">
        <v>797</v>
      </c>
      <c r="C107" s="23" t="s">
        <v>798</v>
      </c>
      <c r="D107" s="16" t="s">
        <v>688</v>
      </c>
      <c r="E107" s="24">
        <v>125</v>
      </c>
      <c r="F107" s="24">
        <v>262.5</v>
      </c>
      <c r="G107" s="24">
        <f t="shared" si="10"/>
        <v>328.86</v>
      </c>
      <c r="H107" s="25">
        <f t="shared" si="7"/>
        <v>137.5</v>
      </c>
      <c r="I107" s="26">
        <f t="shared" si="8"/>
        <v>262.5</v>
      </c>
      <c r="J107" s="26">
        <f t="shared" si="9"/>
        <v>0</v>
      </c>
      <c r="K107" s="24">
        <f t="shared" si="11"/>
        <v>42</v>
      </c>
      <c r="L107" s="38">
        <f>(F105+K105)*8/100</f>
        <v>18.708479999999998</v>
      </c>
      <c r="M107" s="38">
        <f>F105+K105+L107</f>
        <v>252.56448</v>
      </c>
    </row>
    <row r="108" spans="1:14" ht="18" customHeight="1" x14ac:dyDescent="0.15">
      <c r="B108" s="16" t="s">
        <v>786</v>
      </c>
      <c r="C108" s="23" t="s">
        <v>787</v>
      </c>
      <c r="D108" s="16" t="s">
        <v>597</v>
      </c>
      <c r="E108" s="24">
        <v>111</v>
      </c>
      <c r="F108" s="24">
        <v>233.1</v>
      </c>
      <c r="G108" s="24">
        <f t="shared" si="10"/>
        <v>292.02768000000003</v>
      </c>
      <c r="H108" s="25">
        <f t="shared" si="7"/>
        <v>122.1</v>
      </c>
      <c r="I108" s="26">
        <f t="shared" si="8"/>
        <v>233.1</v>
      </c>
      <c r="J108" s="26">
        <f t="shared" si="9"/>
        <v>0</v>
      </c>
      <c r="K108" s="24">
        <f t="shared" si="11"/>
        <v>37.295999999999999</v>
      </c>
      <c r="L108" s="38">
        <f>(F106+K106)*8/100</f>
        <v>4.8719999999999999</v>
      </c>
      <c r="M108" s="38">
        <f>F106+K106+L108</f>
        <v>65.771999999999991</v>
      </c>
    </row>
    <row r="109" spans="1:14" ht="18" customHeight="1" x14ac:dyDescent="0.15">
      <c r="A109" s="29"/>
      <c r="B109" s="17" t="s">
        <v>821</v>
      </c>
      <c r="C109" s="31" t="s">
        <v>822</v>
      </c>
      <c r="D109" s="17" t="s">
        <v>73</v>
      </c>
      <c r="E109" s="28">
        <v>136</v>
      </c>
      <c r="F109" s="28">
        <v>285.60000000000002</v>
      </c>
      <c r="G109" s="24">
        <f t="shared" si="10"/>
        <v>357.79968000000008</v>
      </c>
      <c r="H109" s="25">
        <f t="shared" si="7"/>
        <v>149.6</v>
      </c>
      <c r="I109" s="26">
        <f t="shared" si="8"/>
        <v>285.60000000000002</v>
      </c>
      <c r="J109" s="26">
        <f t="shared" si="9"/>
        <v>0</v>
      </c>
      <c r="K109" s="24">
        <f t="shared" si="11"/>
        <v>45.696000000000005</v>
      </c>
      <c r="L109" s="38">
        <f>(F107+K107)*8/100</f>
        <v>24.36</v>
      </c>
      <c r="M109" s="38">
        <f>F107+K107+L109</f>
        <v>328.86</v>
      </c>
    </row>
    <row r="110" spans="1:14" ht="18" customHeight="1" x14ac:dyDescent="0.15">
      <c r="A110" s="29"/>
      <c r="B110" s="17" t="s">
        <v>823</v>
      </c>
      <c r="C110" s="31" t="s">
        <v>824</v>
      </c>
      <c r="D110" s="17" t="s">
        <v>73</v>
      </c>
      <c r="E110" s="28">
        <v>7.75</v>
      </c>
      <c r="F110" s="28">
        <v>16.274999999999999</v>
      </c>
      <c r="G110" s="24">
        <f t="shared" si="10"/>
        <v>20.389319999999998</v>
      </c>
      <c r="H110" s="25">
        <f t="shared" si="7"/>
        <v>8.5250000000000004</v>
      </c>
      <c r="I110" s="26">
        <f t="shared" si="8"/>
        <v>16.274999999999999</v>
      </c>
      <c r="J110" s="26">
        <f t="shared" si="9"/>
        <v>0</v>
      </c>
      <c r="K110" s="24">
        <f t="shared" si="11"/>
        <v>2.6039999999999996</v>
      </c>
      <c r="L110" s="38">
        <f>(F108+K108)*8/100</f>
        <v>21.631680000000003</v>
      </c>
      <c r="M110" s="38">
        <f>F108+K108+L110</f>
        <v>292.02768000000003</v>
      </c>
    </row>
    <row r="111" spans="1:14" ht="7.5" customHeight="1" x14ac:dyDescent="0.15">
      <c r="A111" s="29"/>
      <c r="B111" s="17" t="s">
        <v>825</v>
      </c>
      <c r="C111" s="31" t="s">
        <v>804</v>
      </c>
      <c r="D111" s="17" t="s">
        <v>73</v>
      </c>
      <c r="E111" s="28">
        <v>130</v>
      </c>
      <c r="F111" s="28">
        <v>273</v>
      </c>
      <c r="G111" s="24">
        <f t="shared" si="10"/>
        <v>342.01440000000002</v>
      </c>
      <c r="H111" s="25">
        <f t="shared" si="7"/>
        <v>143</v>
      </c>
      <c r="I111" s="26">
        <f t="shared" si="8"/>
        <v>273</v>
      </c>
      <c r="J111" s="26">
        <f t="shared" si="9"/>
        <v>0</v>
      </c>
      <c r="K111" s="24">
        <f t="shared" si="11"/>
        <v>43.68</v>
      </c>
      <c r="L111" s="38">
        <f>(F109+K109)*8/100</f>
        <v>26.503680000000003</v>
      </c>
      <c r="M111" s="38">
        <f>F109+K109+L111</f>
        <v>357.79968000000008</v>
      </c>
      <c r="N111" s="29"/>
    </row>
    <row r="112" spans="1:14" ht="21.75" customHeight="1" x14ac:dyDescent="0.15">
      <c r="B112" s="16" t="s">
        <v>805</v>
      </c>
      <c r="C112" s="23" t="s">
        <v>806</v>
      </c>
      <c r="D112" s="16" t="s">
        <v>670</v>
      </c>
      <c r="E112" s="24">
        <v>9.75</v>
      </c>
      <c r="F112" s="24">
        <v>20.475000000000001</v>
      </c>
      <c r="G112" s="24">
        <f t="shared" si="10"/>
        <v>25.65108</v>
      </c>
      <c r="H112" s="25">
        <f t="shared" si="7"/>
        <v>10.725</v>
      </c>
      <c r="I112" s="26">
        <f t="shared" si="8"/>
        <v>20.475000000000001</v>
      </c>
      <c r="J112" s="26">
        <f t="shared" si="9"/>
        <v>0</v>
      </c>
      <c r="K112" s="24">
        <f t="shared" si="11"/>
        <v>3.2760000000000002</v>
      </c>
      <c r="L112" s="38">
        <f>(F110+K110)*8/100</f>
        <v>1.5103199999999999</v>
      </c>
      <c r="M112" s="38">
        <f>F110+K110+L112</f>
        <v>20.389319999999998</v>
      </c>
      <c r="N112" s="29"/>
    </row>
    <row r="113" spans="1:16" ht="18" customHeight="1" x14ac:dyDescent="0.15">
      <c r="B113" s="16" t="s">
        <v>807</v>
      </c>
      <c r="C113" s="23" t="s">
        <v>804</v>
      </c>
      <c r="D113" s="16" t="s">
        <v>670</v>
      </c>
      <c r="E113" s="24">
        <v>147</v>
      </c>
      <c r="F113" s="24">
        <v>308.7</v>
      </c>
      <c r="G113" s="24">
        <f t="shared" si="10"/>
        <v>386.73935999999998</v>
      </c>
      <c r="H113" s="25">
        <f t="shared" si="7"/>
        <v>161.69999999999999</v>
      </c>
      <c r="I113" s="26">
        <f t="shared" si="8"/>
        <v>308.7</v>
      </c>
      <c r="J113" s="26">
        <f t="shared" si="9"/>
        <v>0</v>
      </c>
      <c r="K113" s="24">
        <f t="shared" si="11"/>
        <v>49.391999999999996</v>
      </c>
      <c r="L113" s="38">
        <f>(F111+K111)*8/100</f>
        <v>25.334400000000002</v>
      </c>
      <c r="M113" s="38">
        <f>F111+K111+L113</f>
        <v>342.01440000000002</v>
      </c>
      <c r="N113" s="29"/>
      <c r="O113" s="29"/>
    </row>
    <row r="114" spans="1:16" ht="18" customHeight="1" x14ac:dyDescent="0.15">
      <c r="B114" s="16" t="s">
        <v>650</v>
      </c>
      <c r="C114" s="23" t="s">
        <v>16</v>
      </c>
      <c r="D114" s="16" t="s">
        <v>6</v>
      </c>
      <c r="E114" s="24">
        <v>135</v>
      </c>
      <c r="F114" s="24">
        <v>283.5</v>
      </c>
      <c r="G114" s="24" t="e">
        <f>#REF!</f>
        <v>#REF!</v>
      </c>
      <c r="H114" s="25">
        <f t="shared" si="7"/>
        <v>148.5</v>
      </c>
      <c r="I114" s="26">
        <f t="shared" si="8"/>
        <v>283.5</v>
      </c>
      <c r="J114" s="26">
        <f t="shared" si="9"/>
        <v>0</v>
      </c>
      <c r="K114" s="24">
        <f t="shared" si="11"/>
        <v>45.36</v>
      </c>
      <c r="L114" s="38">
        <f>(F112+K112)*8/100</f>
        <v>1.90008</v>
      </c>
      <c r="M114" s="38">
        <f>F112+K112+L114</f>
        <v>25.65108</v>
      </c>
      <c r="O114" s="29"/>
    </row>
    <row r="115" spans="1:16" ht="18" customHeight="1" x14ac:dyDescent="0.15">
      <c r="B115" s="16" t="s">
        <v>315</v>
      </c>
      <c r="C115" s="23" t="s">
        <v>179</v>
      </c>
      <c r="D115" s="16" t="s">
        <v>6</v>
      </c>
      <c r="E115" s="24">
        <v>125</v>
      </c>
      <c r="F115" s="24">
        <v>262.5</v>
      </c>
      <c r="G115" s="24" t="e">
        <f>#REF!</f>
        <v>#REF!</v>
      </c>
      <c r="H115" s="25">
        <f t="shared" si="7"/>
        <v>137.5</v>
      </c>
      <c r="I115" s="26">
        <f t="shared" si="8"/>
        <v>262.5</v>
      </c>
      <c r="J115" s="26">
        <f t="shared" si="9"/>
        <v>0</v>
      </c>
      <c r="K115" s="24">
        <f t="shared" si="11"/>
        <v>42</v>
      </c>
      <c r="L115" s="38">
        <f>(F113+K113)*8/100</f>
        <v>28.647359999999999</v>
      </c>
      <c r="M115" s="38">
        <f>F113+K113+L115</f>
        <v>386.73935999999998</v>
      </c>
      <c r="O115" s="29"/>
      <c r="P115" s="29"/>
    </row>
    <row r="116" spans="1:16" ht="18" customHeight="1" x14ac:dyDescent="0.15">
      <c r="B116" s="16" t="s">
        <v>314</v>
      </c>
      <c r="C116" s="23" t="s">
        <v>131</v>
      </c>
      <c r="D116" s="16" t="s">
        <v>464</v>
      </c>
      <c r="E116" s="28">
        <v>9</v>
      </c>
      <c r="F116" s="24">
        <v>18.899999999999999</v>
      </c>
      <c r="G116" s="39"/>
      <c r="H116" s="25">
        <f t="shared" si="7"/>
        <v>9.9</v>
      </c>
      <c r="I116" s="26">
        <f>E116+H116</f>
        <v>18.899999999999999</v>
      </c>
      <c r="J116" s="26">
        <f>F116-I116</f>
        <v>0</v>
      </c>
    </row>
    <row r="117" spans="1:16" s="29" customFormat="1" ht="18" customHeight="1" x14ac:dyDescent="0.15">
      <c r="A117" s="22"/>
      <c r="B117" s="16" t="s">
        <v>718</v>
      </c>
      <c r="C117" s="23" t="s">
        <v>512</v>
      </c>
      <c r="D117" s="16" t="s">
        <v>703</v>
      </c>
      <c r="E117" s="24">
        <v>8</v>
      </c>
      <c r="F117" s="24">
        <v>16.8</v>
      </c>
      <c r="G117" s="39"/>
      <c r="H117" s="25">
        <f t="shared" si="7"/>
        <v>8.8000000000000007</v>
      </c>
      <c r="I117" s="26">
        <f t="shared" ref="I117:I179" si="12">E117+H117</f>
        <v>16.8</v>
      </c>
      <c r="J117" s="26">
        <f t="shared" ref="J117:J179" si="13">F117-I117</f>
        <v>0</v>
      </c>
      <c r="K117" s="22"/>
      <c r="L117" s="22"/>
      <c r="M117" s="22"/>
      <c r="N117" s="22"/>
      <c r="O117" s="22"/>
      <c r="P117" s="22"/>
    </row>
    <row r="118" spans="1:16" s="29" customFormat="1" ht="18" customHeight="1" x14ac:dyDescent="0.15">
      <c r="A118" s="22"/>
      <c r="B118" s="16" t="s">
        <v>699</v>
      </c>
      <c r="C118" s="23" t="s">
        <v>512</v>
      </c>
      <c r="D118" s="16" t="s">
        <v>478</v>
      </c>
      <c r="E118" s="24">
        <v>6.5</v>
      </c>
      <c r="F118" s="24">
        <v>13.65</v>
      </c>
      <c r="G118" s="36"/>
      <c r="H118" s="25">
        <f t="shared" si="7"/>
        <v>7.15</v>
      </c>
      <c r="I118" s="26">
        <f t="shared" si="12"/>
        <v>13.65</v>
      </c>
      <c r="J118" s="26">
        <f t="shared" si="13"/>
        <v>0</v>
      </c>
      <c r="K118" s="22"/>
      <c r="L118" s="22"/>
      <c r="M118" s="22"/>
      <c r="N118" s="22"/>
      <c r="O118" s="22"/>
      <c r="P118" s="22"/>
    </row>
    <row r="119" spans="1:16" s="29" customFormat="1" ht="18" customHeight="1" x14ac:dyDescent="0.15">
      <c r="A119" s="22"/>
      <c r="B119" s="16" t="s">
        <v>365</v>
      </c>
      <c r="C119" s="23" t="s">
        <v>82</v>
      </c>
      <c r="D119" s="16" t="s">
        <v>478</v>
      </c>
      <c r="E119" s="24">
        <v>9</v>
      </c>
      <c r="F119" s="24">
        <v>18.899999999999999</v>
      </c>
      <c r="G119" s="36"/>
      <c r="H119" s="25">
        <f t="shared" ref="H119:H178" si="14">E119*110/100</f>
        <v>9.9</v>
      </c>
      <c r="I119" s="26">
        <f t="shared" si="12"/>
        <v>18.899999999999999</v>
      </c>
      <c r="J119" s="26">
        <f t="shared" si="13"/>
        <v>0</v>
      </c>
      <c r="K119" s="22"/>
      <c r="L119" s="22"/>
      <c r="M119" s="22"/>
      <c r="N119" s="22"/>
      <c r="O119" s="22"/>
      <c r="P119" s="22"/>
    </row>
    <row r="120" spans="1:16" ht="18" customHeight="1" x14ac:dyDescent="0.15">
      <c r="B120" s="16" t="s">
        <v>616</v>
      </c>
      <c r="C120" s="23" t="s">
        <v>420</v>
      </c>
      <c r="D120" s="16" t="s">
        <v>478</v>
      </c>
      <c r="E120" s="24">
        <v>10.5</v>
      </c>
      <c r="F120" s="24">
        <v>22.05</v>
      </c>
      <c r="G120" s="36"/>
      <c r="H120" s="25">
        <f t="shared" si="14"/>
        <v>11.55</v>
      </c>
      <c r="I120" s="26">
        <f t="shared" si="12"/>
        <v>22.05</v>
      </c>
      <c r="J120" s="26">
        <f t="shared" si="13"/>
        <v>0</v>
      </c>
    </row>
    <row r="121" spans="1:16" ht="18" customHeight="1" x14ac:dyDescent="0.15">
      <c r="B121" s="16" t="s">
        <v>524</v>
      </c>
      <c r="C121" s="23" t="s">
        <v>630</v>
      </c>
      <c r="D121" s="16" t="s">
        <v>478</v>
      </c>
      <c r="E121" s="24">
        <v>7</v>
      </c>
      <c r="F121" s="24">
        <v>14.7</v>
      </c>
      <c r="G121" s="36"/>
      <c r="H121" s="25">
        <f t="shared" si="14"/>
        <v>7.7</v>
      </c>
      <c r="I121" s="26">
        <f t="shared" si="12"/>
        <v>14.7</v>
      </c>
      <c r="J121" s="26">
        <f t="shared" si="13"/>
        <v>0</v>
      </c>
    </row>
    <row r="122" spans="1:16" ht="18" customHeight="1" x14ac:dyDescent="0.15">
      <c r="B122" s="16" t="s">
        <v>471</v>
      </c>
      <c r="C122" s="23" t="s">
        <v>255</v>
      </c>
      <c r="D122" s="16" t="s">
        <v>464</v>
      </c>
      <c r="E122" s="24">
        <v>12</v>
      </c>
      <c r="F122" s="24">
        <v>25.2</v>
      </c>
      <c r="G122" s="36"/>
      <c r="H122" s="25">
        <f t="shared" si="14"/>
        <v>13.2</v>
      </c>
      <c r="I122" s="26">
        <f t="shared" si="12"/>
        <v>25.2</v>
      </c>
      <c r="J122" s="26">
        <f t="shared" si="13"/>
        <v>0</v>
      </c>
    </row>
    <row r="123" spans="1:16" ht="18" customHeight="1" x14ac:dyDescent="0.15">
      <c r="B123" s="16" t="s">
        <v>151</v>
      </c>
      <c r="C123" s="23" t="s">
        <v>512</v>
      </c>
      <c r="D123" s="16" t="s">
        <v>464</v>
      </c>
      <c r="E123" s="28">
        <v>7.5</v>
      </c>
      <c r="F123" s="24">
        <v>15.75</v>
      </c>
      <c r="G123" s="36"/>
      <c r="H123" s="25">
        <f t="shared" si="14"/>
        <v>8.25</v>
      </c>
      <c r="I123" s="26">
        <f t="shared" si="12"/>
        <v>15.75</v>
      </c>
      <c r="J123" s="26">
        <f t="shared" si="13"/>
        <v>0</v>
      </c>
    </row>
    <row r="124" spans="1:16" ht="7.5" customHeight="1" x14ac:dyDescent="0.15">
      <c r="B124" s="16" t="s">
        <v>445</v>
      </c>
      <c r="C124" s="23" t="s">
        <v>82</v>
      </c>
      <c r="D124" s="16" t="s">
        <v>464</v>
      </c>
      <c r="E124" s="28">
        <v>10.5</v>
      </c>
      <c r="F124" s="24">
        <v>22.05</v>
      </c>
      <c r="G124" s="36"/>
      <c r="H124" s="25">
        <f t="shared" si="14"/>
        <v>11.55</v>
      </c>
      <c r="I124" s="26">
        <f t="shared" si="12"/>
        <v>22.05</v>
      </c>
      <c r="J124" s="26">
        <f t="shared" si="13"/>
        <v>0</v>
      </c>
    </row>
    <row r="125" spans="1:16" ht="15" x14ac:dyDescent="0.15">
      <c r="B125" s="16" t="s">
        <v>689</v>
      </c>
      <c r="C125" s="23" t="s">
        <v>420</v>
      </c>
      <c r="D125" s="16" t="s">
        <v>464</v>
      </c>
      <c r="E125" s="28">
        <v>10</v>
      </c>
      <c r="F125" s="24">
        <v>21</v>
      </c>
      <c r="G125" s="36"/>
      <c r="H125" s="25">
        <f t="shared" si="14"/>
        <v>11</v>
      </c>
      <c r="I125" s="26">
        <f t="shared" si="12"/>
        <v>21</v>
      </c>
      <c r="J125" s="26">
        <f t="shared" si="13"/>
        <v>0</v>
      </c>
    </row>
    <row r="126" spans="1:16" ht="18.75" customHeight="1" x14ac:dyDescent="0.15">
      <c r="B126" s="16" t="s">
        <v>735</v>
      </c>
      <c r="C126" s="23" t="s">
        <v>630</v>
      </c>
      <c r="D126" s="16" t="s">
        <v>464</v>
      </c>
      <c r="E126" s="24">
        <v>8.5</v>
      </c>
      <c r="F126" s="24">
        <v>17.850000000000001</v>
      </c>
      <c r="G126" s="36"/>
      <c r="H126" s="25">
        <f t="shared" si="14"/>
        <v>9.35</v>
      </c>
      <c r="I126" s="26">
        <f t="shared" si="12"/>
        <v>17.850000000000001</v>
      </c>
      <c r="J126" s="26">
        <f t="shared" si="13"/>
        <v>0</v>
      </c>
    </row>
    <row r="127" spans="1:16" ht="7.5" customHeight="1" x14ac:dyDescent="0.15">
      <c r="B127" s="16" t="s">
        <v>555</v>
      </c>
      <c r="C127" s="23" t="s">
        <v>165</v>
      </c>
      <c r="D127" s="16" t="s">
        <v>722</v>
      </c>
      <c r="E127" s="24">
        <v>5</v>
      </c>
      <c r="F127" s="24">
        <v>10.5</v>
      </c>
      <c r="G127" s="36"/>
      <c r="H127" s="25">
        <f t="shared" si="14"/>
        <v>5.5</v>
      </c>
      <c r="I127" s="26">
        <f t="shared" si="12"/>
        <v>10.5</v>
      </c>
      <c r="J127" s="26">
        <f t="shared" si="13"/>
        <v>0</v>
      </c>
    </row>
    <row r="128" spans="1:16" ht="15" x14ac:dyDescent="0.15">
      <c r="B128" s="16" t="s">
        <v>532</v>
      </c>
      <c r="C128" s="23" t="s">
        <v>711</v>
      </c>
      <c r="D128" s="16" t="s">
        <v>293</v>
      </c>
      <c r="E128" s="24">
        <v>10.5</v>
      </c>
      <c r="F128" s="24">
        <v>22.05</v>
      </c>
      <c r="G128" s="36"/>
      <c r="H128" s="25">
        <f t="shared" si="14"/>
        <v>11.55</v>
      </c>
      <c r="I128" s="26">
        <f t="shared" si="12"/>
        <v>22.05</v>
      </c>
      <c r="J128" s="26">
        <f t="shared" si="13"/>
        <v>0</v>
      </c>
    </row>
    <row r="129" spans="1:16" ht="18" customHeight="1" x14ac:dyDescent="0.15">
      <c r="A129" s="29"/>
      <c r="B129" s="17" t="s">
        <v>203</v>
      </c>
      <c r="C129" s="31" t="s">
        <v>714</v>
      </c>
      <c r="D129" s="13" t="s">
        <v>685</v>
      </c>
      <c r="E129" s="28">
        <v>10</v>
      </c>
      <c r="F129" s="24">
        <v>21</v>
      </c>
      <c r="G129" s="36"/>
      <c r="H129" s="25">
        <f t="shared" si="14"/>
        <v>11</v>
      </c>
      <c r="I129" s="26">
        <f t="shared" si="12"/>
        <v>21</v>
      </c>
      <c r="J129" s="26">
        <f t="shared" si="13"/>
        <v>0</v>
      </c>
      <c r="K129" s="29"/>
    </row>
    <row r="130" spans="1:16" ht="18" customHeight="1" x14ac:dyDescent="0.15">
      <c r="B130" s="16" t="s">
        <v>406</v>
      </c>
      <c r="C130" s="23" t="s">
        <v>512</v>
      </c>
      <c r="D130" s="16" t="s">
        <v>426</v>
      </c>
      <c r="E130" s="24">
        <v>7</v>
      </c>
      <c r="F130" s="24">
        <v>14.7</v>
      </c>
      <c r="G130" s="36"/>
      <c r="H130" s="25">
        <f t="shared" si="14"/>
        <v>7.7</v>
      </c>
      <c r="I130" s="26">
        <f t="shared" si="12"/>
        <v>14.7</v>
      </c>
      <c r="J130" s="26">
        <f t="shared" si="13"/>
        <v>0</v>
      </c>
    </row>
    <row r="131" spans="1:16" ht="18" customHeight="1" x14ac:dyDescent="0.15">
      <c r="B131" s="16" t="s">
        <v>84</v>
      </c>
      <c r="C131" s="23" t="s">
        <v>630</v>
      </c>
      <c r="D131" s="16" t="s">
        <v>9</v>
      </c>
      <c r="E131" s="24">
        <v>5</v>
      </c>
      <c r="F131" s="24">
        <v>10.5</v>
      </c>
      <c r="G131" s="36"/>
      <c r="H131" s="25">
        <f t="shared" si="14"/>
        <v>5.5</v>
      </c>
      <c r="I131" s="26">
        <f t="shared" si="12"/>
        <v>10.5</v>
      </c>
      <c r="J131" s="26">
        <f t="shared" si="13"/>
        <v>0</v>
      </c>
      <c r="L131" s="29"/>
      <c r="M131" s="29"/>
      <c r="N131" s="29"/>
    </row>
    <row r="132" spans="1:16" ht="18" customHeight="1" x14ac:dyDescent="0.15">
      <c r="B132" s="16" t="s">
        <v>631</v>
      </c>
      <c r="C132" s="23" t="s">
        <v>512</v>
      </c>
      <c r="D132" s="16" t="s">
        <v>31</v>
      </c>
      <c r="E132" s="24">
        <v>7.5</v>
      </c>
      <c r="F132" s="24">
        <v>15.75</v>
      </c>
      <c r="G132" s="36"/>
      <c r="H132" s="25">
        <f t="shared" si="14"/>
        <v>8.25</v>
      </c>
      <c r="I132" s="26">
        <f t="shared" si="12"/>
        <v>15.75</v>
      </c>
      <c r="J132" s="26">
        <f t="shared" si="13"/>
        <v>0</v>
      </c>
    </row>
    <row r="133" spans="1:16" ht="18" customHeight="1" x14ac:dyDescent="0.15">
      <c r="B133" s="16" t="s">
        <v>753</v>
      </c>
      <c r="C133" s="23" t="s">
        <v>630</v>
      </c>
      <c r="D133" s="16" t="s">
        <v>31</v>
      </c>
      <c r="E133" s="24">
        <v>8</v>
      </c>
      <c r="F133" s="24">
        <v>16.8</v>
      </c>
      <c r="G133" s="36"/>
      <c r="H133" s="25">
        <f t="shared" si="14"/>
        <v>8.8000000000000007</v>
      </c>
      <c r="I133" s="26">
        <f t="shared" si="12"/>
        <v>16.8</v>
      </c>
      <c r="J133" s="26">
        <f t="shared" si="13"/>
        <v>0</v>
      </c>
      <c r="O133" s="29"/>
    </row>
    <row r="134" spans="1:16" ht="18" customHeight="1" x14ac:dyDescent="0.15">
      <c r="B134" s="16" t="s">
        <v>543</v>
      </c>
      <c r="C134" s="23" t="s">
        <v>512</v>
      </c>
      <c r="D134" s="16" t="s">
        <v>185</v>
      </c>
      <c r="E134" s="24">
        <v>9</v>
      </c>
      <c r="F134" s="24">
        <v>18.899999999999999</v>
      </c>
      <c r="G134" s="36"/>
      <c r="H134" s="25">
        <f t="shared" si="14"/>
        <v>9.9</v>
      </c>
      <c r="I134" s="26">
        <f t="shared" si="12"/>
        <v>18.899999999999999</v>
      </c>
      <c r="J134" s="26">
        <f t="shared" si="13"/>
        <v>0</v>
      </c>
    </row>
    <row r="135" spans="1:16" ht="18" customHeight="1" x14ac:dyDescent="0.15">
      <c r="B135" s="16" t="s">
        <v>45</v>
      </c>
      <c r="C135" s="23" t="s">
        <v>350</v>
      </c>
      <c r="D135" s="16" t="s">
        <v>773</v>
      </c>
      <c r="E135" s="24">
        <v>8</v>
      </c>
      <c r="F135" s="24">
        <v>16.8</v>
      </c>
      <c r="G135" s="36"/>
      <c r="H135" s="25">
        <f t="shared" si="14"/>
        <v>8.8000000000000007</v>
      </c>
      <c r="I135" s="26">
        <f t="shared" si="12"/>
        <v>16.8</v>
      </c>
      <c r="J135" s="26">
        <f t="shared" si="13"/>
        <v>0</v>
      </c>
      <c r="P135" s="29"/>
    </row>
    <row r="136" spans="1:16" ht="18" customHeight="1" x14ac:dyDescent="0.15">
      <c r="A136" s="29"/>
      <c r="B136" s="17" t="s">
        <v>306</v>
      </c>
      <c r="C136" s="14" t="s">
        <v>303</v>
      </c>
      <c r="D136" s="17" t="s">
        <v>588</v>
      </c>
      <c r="E136" s="28">
        <v>5</v>
      </c>
      <c r="F136" s="24">
        <v>10.5</v>
      </c>
      <c r="G136" s="36"/>
      <c r="H136" s="25">
        <f t="shared" si="14"/>
        <v>5.5</v>
      </c>
      <c r="I136" s="26">
        <f t="shared" si="12"/>
        <v>10.5</v>
      </c>
      <c r="J136" s="26">
        <f t="shared" si="13"/>
        <v>0</v>
      </c>
      <c r="K136" s="29"/>
    </row>
    <row r="137" spans="1:16" ht="18" customHeight="1" x14ac:dyDescent="0.15">
      <c r="B137" s="16" t="s">
        <v>656</v>
      </c>
      <c r="C137" s="46" t="s">
        <v>169</v>
      </c>
      <c r="D137" s="16" t="s">
        <v>87</v>
      </c>
      <c r="E137" s="28">
        <v>13</v>
      </c>
      <c r="F137" s="24">
        <v>27.3</v>
      </c>
      <c r="G137" s="36"/>
      <c r="H137" s="25">
        <f t="shared" si="14"/>
        <v>14.3</v>
      </c>
      <c r="I137" s="26">
        <f t="shared" si="12"/>
        <v>27.3</v>
      </c>
      <c r="J137" s="26">
        <f t="shared" si="13"/>
        <v>0</v>
      </c>
      <c r="L137" s="27"/>
      <c r="M137" s="27"/>
      <c r="N137" s="27"/>
    </row>
    <row r="138" spans="1:16" ht="18" customHeight="1" x14ac:dyDescent="0.15">
      <c r="B138" s="16" t="s">
        <v>721</v>
      </c>
      <c r="C138" s="46" t="s">
        <v>542</v>
      </c>
      <c r="D138" s="16" t="s">
        <v>87</v>
      </c>
      <c r="E138" s="24">
        <v>12</v>
      </c>
      <c r="F138" s="24">
        <v>25.2</v>
      </c>
      <c r="G138" s="36"/>
      <c r="H138" s="25">
        <f t="shared" si="14"/>
        <v>13.2</v>
      </c>
      <c r="I138" s="26">
        <f t="shared" si="12"/>
        <v>25.2</v>
      </c>
      <c r="J138" s="26">
        <f t="shared" si="13"/>
        <v>0</v>
      </c>
      <c r="L138" s="27"/>
      <c r="M138" s="27"/>
      <c r="N138" s="27"/>
    </row>
    <row r="139" spans="1:16" ht="18" customHeight="1" x14ac:dyDescent="0.15">
      <c r="A139" s="29"/>
      <c r="B139" s="17" t="s">
        <v>46</v>
      </c>
      <c r="C139" s="31" t="s">
        <v>451</v>
      </c>
      <c r="D139" s="17" t="s">
        <v>4</v>
      </c>
      <c r="E139" s="28">
        <v>7</v>
      </c>
      <c r="F139" s="24">
        <v>14.7</v>
      </c>
      <c r="G139" s="36"/>
      <c r="H139" s="25">
        <f t="shared" si="14"/>
        <v>7.7</v>
      </c>
      <c r="I139" s="26">
        <f t="shared" si="12"/>
        <v>14.7</v>
      </c>
      <c r="J139" s="26">
        <f t="shared" si="13"/>
        <v>0</v>
      </c>
      <c r="K139" s="29"/>
      <c r="L139" s="27"/>
      <c r="M139" s="27"/>
      <c r="N139" s="27"/>
      <c r="O139" s="27"/>
    </row>
    <row r="140" spans="1:16" ht="18" customHeight="1" x14ac:dyDescent="0.15">
      <c r="A140" s="29"/>
      <c r="B140" s="17" t="s">
        <v>209</v>
      </c>
      <c r="C140" s="31" t="s">
        <v>309</v>
      </c>
      <c r="D140" s="17" t="s">
        <v>670</v>
      </c>
      <c r="E140" s="28">
        <v>11</v>
      </c>
      <c r="F140" s="24">
        <v>23.1</v>
      </c>
      <c r="G140" s="36"/>
      <c r="H140" s="25">
        <f t="shared" si="14"/>
        <v>12.1</v>
      </c>
      <c r="I140" s="26">
        <f t="shared" si="12"/>
        <v>23.1</v>
      </c>
      <c r="J140" s="26">
        <f t="shared" si="13"/>
        <v>0</v>
      </c>
      <c r="K140" s="29"/>
      <c r="L140" s="27"/>
      <c r="M140" s="27"/>
      <c r="N140" s="27"/>
      <c r="O140" s="27"/>
    </row>
    <row r="141" spans="1:16" s="29" customFormat="1" ht="18" customHeight="1" x14ac:dyDescent="0.15">
      <c r="B141" s="17" t="s">
        <v>260</v>
      </c>
      <c r="C141" s="31" t="s">
        <v>20</v>
      </c>
      <c r="D141" s="17" t="s">
        <v>6</v>
      </c>
      <c r="E141" s="28">
        <v>10</v>
      </c>
      <c r="F141" s="24">
        <v>21</v>
      </c>
      <c r="G141" s="36"/>
      <c r="H141" s="25">
        <f t="shared" si="14"/>
        <v>11</v>
      </c>
      <c r="I141" s="26">
        <f t="shared" si="12"/>
        <v>21</v>
      </c>
      <c r="J141" s="26">
        <f t="shared" si="13"/>
        <v>0</v>
      </c>
      <c r="L141" s="22"/>
      <c r="M141" s="22"/>
      <c r="N141" s="22"/>
      <c r="O141" s="27"/>
      <c r="P141" s="22"/>
    </row>
    <row r="142" spans="1:16" ht="18" customHeight="1" x14ac:dyDescent="0.15">
      <c r="B142" s="16" t="s">
        <v>483</v>
      </c>
      <c r="C142" s="23" t="s">
        <v>350</v>
      </c>
      <c r="D142" s="16" t="s">
        <v>31</v>
      </c>
      <c r="E142" s="24">
        <v>8.5</v>
      </c>
      <c r="F142" s="24">
        <v>17.850000000000001</v>
      </c>
      <c r="G142" s="36"/>
      <c r="H142" s="25">
        <f t="shared" si="14"/>
        <v>9.35</v>
      </c>
      <c r="I142" s="26">
        <f t="shared" si="12"/>
        <v>17.850000000000001</v>
      </c>
      <c r="J142" s="26">
        <f t="shared" si="13"/>
        <v>0</v>
      </c>
      <c r="O142" s="27"/>
    </row>
    <row r="143" spans="1:16" ht="18" customHeight="1" x14ac:dyDescent="0.15">
      <c r="B143" s="16" t="s">
        <v>794</v>
      </c>
      <c r="C143" s="23" t="s">
        <v>793</v>
      </c>
      <c r="D143" s="16" t="s">
        <v>31</v>
      </c>
      <c r="E143" s="24">
        <v>7</v>
      </c>
      <c r="F143" s="24">
        <v>14.7</v>
      </c>
      <c r="G143" s="36"/>
      <c r="H143" s="25">
        <f t="shared" si="14"/>
        <v>7.7</v>
      </c>
      <c r="I143" s="26">
        <f t="shared" si="12"/>
        <v>14.7</v>
      </c>
      <c r="J143" s="26">
        <f t="shared" si="13"/>
        <v>0</v>
      </c>
      <c r="L143" s="29"/>
      <c r="M143" s="29"/>
      <c r="N143" s="29"/>
      <c r="P143" s="27"/>
    </row>
    <row r="144" spans="1:16" ht="18" customHeight="1" x14ac:dyDescent="0.15">
      <c r="B144" s="16" t="s">
        <v>166</v>
      </c>
      <c r="C144" s="23" t="s">
        <v>108</v>
      </c>
      <c r="D144" s="16" t="s">
        <v>185</v>
      </c>
      <c r="E144" s="24">
        <v>8.5</v>
      </c>
      <c r="F144" s="24">
        <v>17.850000000000001</v>
      </c>
      <c r="G144" s="37"/>
      <c r="H144" s="25">
        <f t="shared" si="14"/>
        <v>9.35</v>
      </c>
      <c r="I144" s="26">
        <f t="shared" si="12"/>
        <v>17.850000000000001</v>
      </c>
      <c r="J144" s="26">
        <f t="shared" si="13"/>
        <v>0</v>
      </c>
      <c r="L144" s="29"/>
      <c r="M144" s="29"/>
      <c r="N144" s="29"/>
      <c r="P144" s="27"/>
    </row>
    <row r="145" spans="1:16" ht="18" customHeight="1" x14ac:dyDescent="0.15">
      <c r="B145" s="16" t="s">
        <v>752</v>
      </c>
      <c r="C145" s="23" t="s">
        <v>34</v>
      </c>
      <c r="D145" s="16" t="s">
        <v>777</v>
      </c>
      <c r="E145" s="24">
        <v>5</v>
      </c>
      <c r="F145" s="24">
        <v>7</v>
      </c>
      <c r="G145" s="37"/>
      <c r="H145" s="25">
        <f t="shared" si="14"/>
        <v>5.5</v>
      </c>
      <c r="I145" s="26">
        <f t="shared" si="12"/>
        <v>10.5</v>
      </c>
      <c r="J145" s="26">
        <f t="shared" si="13"/>
        <v>-3.5</v>
      </c>
      <c r="O145" s="29"/>
    </row>
    <row r="146" spans="1:16" ht="18" customHeight="1" x14ac:dyDescent="0.15">
      <c r="B146" s="16" t="s">
        <v>88</v>
      </c>
      <c r="C146" s="23" t="s">
        <v>476</v>
      </c>
      <c r="D146" s="16" t="s">
        <v>777</v>
      </c>
      <c r="E146" s="24">
        <v>5</v>
      </c>
      <c r="F146" s="24">
        <v>7</v>
      </c>
      <c r="G146" s="37"/>
      <c r="H146" s="25">
        <f t="shared" si="14"/>
        <v>5.5</v>
      </c>
      <c r="I146" s="26">
        <f t="shared" si="12"/>
        <v>10.5</v>
      </c>
      <c r="J146" s="26">
        <f t="shared" si="13"/>
        <v>-3.5</v>
      </c>
    </row>
    <row r="147" spans="1:16" ht="7.5" customHeight="1" x14ac:dyDescent="0.15">
      <c r="B147" s="16" t="s">
        <v>219</v>
      </c>
      <c r="C147" s="23" t="s">
        <v>673</v>
      </c>
      <c r="D147" s="16" t="s">
        <v>777</v>
      </c>
      <c r="E147" s="24">
        <v>5</v>
      </c>
      <c r="F147" s="24">
        <v>7</v>
      </c>
      <c r="G147" s="37"/>
      <c r="H147" s="25">
        <f t="shared" si="14"/>
        <v>5.5</v>
      </c>
      <c r="I147" s="26">
        <f t="shared" si="12"/>
        <v>10.5</v>
      </c>
      <c r="J147" s="26">
        <f t="shared" si="13"/>
        <v>-3.5</v>
      </c>
      <c r="P147" s="29"/>
    </row>
    <row r="148" spans="1:16" ht="15" x14ac:dyDescent="0.15">
      <c r="B148" s="16" t="s">
        <v>145</v>
      </c>
      <c r="C148" s="23" t="s">
        <v>550</v>
      </c>
      <c r="D148" s="16" t="s">
        <v>777</v>
      </c>
      <c r="E148" s="24">
        <v>5</v>
      </c>
      <c r="F148" s="24">
        <v>7</v>
      </c>
      <c r="G148" s="37"/>
      <c r="H148" s="25">
        <f t="shared" si="14"/>
        <v>5.5</v>
      </c>
      <c r="I148" s="26">
        <f t="shared" si="12"/>
        <v>10.5</v>
      </c>
      <c r="J148" s="26">
        <f t="shared" si="13"/>
        <v>-3.5</v>
      </c>
      <c r="P148" s="29"/>
    </row>
    <row r="149" spans="1:16" s="27" customFormat="1" ht="18" customHeight="1" x14ac:dyDescent="0.15">
      <c r="A149" s="22"/>
      <c r="B149" s="16" t="s">
        <v>67</v>
      </c>
      <c r="C149" s="23" t="s">
        <v>38</v>
      </c>
      <c r="D149" s="16" t="s">
        <v>777</v>
      </c>
      <c r="E149" s="24">
        <v>5</v>
      </c>
      <c r="F149" s="24">
        <v>7</v>
      </c>
      <c r="G149" s="37"/>
      <c r="H149" s="25">
        <f t="shared" si="14"/>
        <v>5.5</v>
      </c>
      <c r="I149" s="26">
        <f t="shared" si="12"/>
        <v>10.5</v>
      </c>
      <c r="J149" s="26">
        <f t="shared" si="13"/>
        <v>-3.5</v>
      </c>
      <c r="K149" s="22"/>
      <c r="L149" s="22"/>
      <c r="M149" s="22"/>
      <c r="N149" s="22"/>
      <c r="O149" s="22"/>
      <c r="P149" s="29"/>
    </row>
    <row r="150" spans="1:16" s="27" customFormat="1" ht="18" customHeight="1" x14ac:dyDescent="0.15">
      <c r="A150" s="22"/>
      <c r="B150" s="16" t="s">
        <v>833</v>
      </c>
      <c r="C150" s="46" t="s">
        <v>776</v>
      </c>
      <c r="D150" s="16" t="s">
        <v>342</v>
      </c>
      <c r="E150" s="24">
        <v>5</v>
      </c>
      <c r="F150" s="24">
        <v>7</v>
      </c>
      <c r="G150" s="37"/>
      <c r="H150" s="25">
        <f t="shared" si="14"/>
        <v>5.5</v>
      </c>
      <c r="I150" s="26">
        <f t="shared" si="12"/>
        <v>10.5</v>
      </c>
      <c r="J150" s="26">
        <f t="shared" si="13"/>
        <v>-3.5</v>
      </c>
      <c r="K150" s="22"/>
      <c r="L150" s="22"/>
      <c r="M150" s="22"/>
      <c r="N150" s="22"/>
      <c r="O150" s="22"/>
      <c r="P150" s="22"/>
    </row>
    <row r="151" spans="1:16" s="27" customFormat="1" ht="18" customHeight="1" x14ac:dyDescent="0.15">
      <c r="A151" s="22"/>
      <c r="B151" s="16" t="s">
        <v>834</v>
      </c>
      <c r="C151" s="23" t="s">
        <v>768</v>
      </c>
      <c r="D151" s="16" t="s">
        <v>342</v>
      </c>
      <c r="E151" s="24">
        <v>6</v>
      </c>
      <c r="F151" s="24">
        <v>8.5</v>
      </c>
      <c r="G151" s="37"/>
      <c r="H151" s="25">
        <f t="shared" si="14"/>
        <v>6.6</v>
      </c>
      <c r="I151" s="26">
        <f t="shared" si="12"/>
        <v>12.6</v>
      </c>
      <c r="J151" s="26">
        <f t="shared" si="13"/>
        <v>-4.0999999999999996</v>
      </c>
      <c r="K151" s="22"/>
      <c r="L151" s="22"/>
      <c r="M151" s="22"/>
      <c r="N151" s="22"/>
      <c r="O151" s="22"/>
      <c r="P151" s="22"/>
    </row>
    <row r="152" spans="1:16" s="27" customFormat="1" ht="18" customHeight="1" x14ac:dyDescent="0.15">
      <c r="A152" s="22"/>
      <c r="B152" s="16" t="s">
        <v>835</v>
      </c>
      <c r="C152" s="23" t="s">
        <v>294</v>
      </c>
      <c r="D152" s="16" t="s">
        <v>342</v>
      </c>
      <c r="E152" s="24">
        <v>5</v>
      </c>
      <c r="F152" s="24">
        <v>7</v>
      </c>
      <c r="G152" s="37"/>
      <c r="H152" s="25">
        <f t="shared" si="14"/>
        <v>5.5</v>
      </c>
      <c r="I152" s="26">
        <f t="shared" si="12"/>
        <v>10.5</v>
      </c>
      <c r="J152" s="26">
        <f t="shared" si="13"/>
        <v>-3.5</v>
      </c>
      <c r="K152" s="22"/>
      <c r="L152" s="22"/>
      <c r="M152" s="22"/>
      <c r="N152" s="22"/>
      <c r="O152" s="22"/>
      <c r="P152" s="22"/>
    </row>
    <row r="153" spans="1:16" ht="18" customHeight="1" x14ac:dyDescent="0.15">
      <c r="B153" s="16" t="s">
        <v>808</v>
      </c>
      <c r="C153" s="23" t="s">
        <v>54</v>
      </c>
      <c r="D153" s="16" t="s">
        <v>342</v>
      </c>
      <c r="E153" s="24">
        <v>5</v>
      </c>
      <c r="F153" s="24">
        <v>8</v>
      </c>
      <c r="G153" s="37"/>
      <c r="H153" s="25">
        <f t="shared" si="14"/>
        <v>5.5</v>
      </c>
      <c r="I153" s="26">
        <f t="shared" si="12"/>
        <v>10.5</v>
      </c>
      <c r="J153" s="26">
        <f t="shared" si="13"/>
        <v>-2.5</v>
      </c>
    </row>
    <row r="154" spans="1:16" ht="18" customHeight="1" x14ac:dyDescent="0.15">
      <c r="B154" s="16" t="s">
        <v>672</v>
      </c>
      <c r="C154" s="46" t="s">
        <v>150</v>
      </c>
      <c r="D154" s="16" t="s">
        <v>342</v>
      </c>
      <c r="E154" s="24">
        <v>5</v>
      </c>
      <c r="F154" s="24">
        <v>7</v>
      </c>
      <c r="G154" s="36"/>
      <c r="H154" s="25">
        <f t="shared" si="14"/>
        <v>5.5</v>
      </c>
      <c r="I154" s="26">
        <f t="shared" si="12"/>
        <v>10.5</v>
      </c>
      <c r="J154" s="26">
        <f t="shared" si="13"/>
        <v>-3.5</v>
      </c>
    </row>
    <row r="155" spans="1:16" s="29" customFormat="1" ht="18" customHeight="1" x14ac:dyDescent="0.15">
      <c r="A155" s="22"/>
      <c r="B155" s="16" t="s">
        <v>809</v>
      </c>
      <c r="C155" s="23" t="s">
        <v>713</v>
      </c>
      <c r="D155" s="16" t="s">
        <v>342</v>
      </c>
      <c r="E155" s="24">
        <v>5</v>
      </c>
      <c r="F155" s="24">
        <v>8</v>
      </c>
      <c r="G155" s="36"/>
      <c r="H155" s="25">
        <f t="shared" si="14"/>
        <v>5.5</v>
      </c>
      <c r="I155" s="26">
        <f t="shared" si="12"/>
        <v>10.5</v>
      </c>
      <c r="J155" s="26">
        <f t="shared" si="13"/>
        <v>-2.5</v>
      </c>
      <c r="K155" s="22"/>
      <c r="L155" s="22"/>
      <c r="M155" s="22"/>
      <c r="N155" s="22"/>
      <c r="O155" s="22"/>
      <c r="P155" s="22"/>
    </row>
    <row r="156" spans="1:16" s="29" customFormat="1" ht="18" customHeight="1" x14ac:dyDescent="0.15">
      <c r="A156" s="22"/>
      <c r="B156" s="16" t="s">
        <v>554</v>
      </c>
      <c r="C156" s="23" t="s">
        <v>337</v>
      </c>
      <c r="D156" s="16" t="s">
        <v>186</v>
      </c>
      <c r="E156" s="24">
        <v>4</v>
      </c>
      <c r="F156" s="24">
        <v>7</v>
      </c>
      <c r="G156" s="36"/>
      <c r="H156" s="25">
        <f t="shared" si="14"/>
        <v>4.4000000000000004</v>
      </c>
      <c r="I156" s="26">
        <f t="shared" si="12"/>
        <v>8.4</v>
      </c>
      <c r="J156" s="26">
        <f t="shared" si="13"/>
        <v>-1.4000000000000004</v>
      </c>
      <c r="K156" s="22"/>
      <c r="L156" s="22"/>
      <c r="M156" s="22"/>
      <c r="N156" s="22"/>
      <c r="O156" s="22"/>
      <c r="P156" s="22"/>
    </row>
    <row r="157" spans="1:16" s="29" customFormat="1" ht="18" customHeight="1" x14ac:dyDescent="0.15">
      <c r="A157" s="22"/>
      <c r="B157" s="16" t="s">
        <v>810</v>
      </c>
      <c r="C157" s="46" t="s">
        <v>776</v>
      </c>
      <c r="D157" s="16" t="s">
        <v>186</v>
      </c>
      <c r="E157" s="24">
        <v>5</v>
      </c>
      <c r="F157" s="24">
        <v>8.5</v>
      </c>
      <c r="G157" s="36"/>
      <c r="H157" s="25">
        <f t="shared" si="14"/>
        <v>5.5</v>
      </c>
      <c r="I157" s="26">
        <f t="shared" si="12"/>
        <v>10.5</v>
      </c>
      <c r="J157" s="26">
        <f t="shared" si="13"/>
        <v>-2</v>
      </c>
      <c r="K157" s="22"/>
      <c r="L157" s="22"/>
      <c r="M157" s="22"/>
      <c r="N157" s="22"/>
      <c r="O157" s="22"/>
      <c r="P157" s="22"/>
    </row>
    <row r="158" spans="1:16" ht="18" customHeight="1" x14ac:dyDescent="0.15">
      <c r="B158" s="16" t="s">
        <v>353</v>
      </c>
      <c r="C158" s="46" t="s">
        <v>35</v>
      </c>
      <c r="D158" s="16" t="s">
        <v>186</v>
      </c>
      <c r="E158" s="24">
        <v>5</v>
      </c>
      <c r="F158" s="24">
        <v>8.5</v>
      </c>
      <c r="G158" s="36"/>
      <c r="H158" s="25">
        <f t="shared" si="14"/>
        <v>5.5</v>
      </c>
      <c r="I158" s="26">
        <f t="shared" si="12"/>
        <v>10.5</v>
      </c>
      <c r="J158" s="26">
        <f t="shared" si="13"/>
        <v>-2</v>
      </c>
    </row>
    <row r="159" spans="1:16" ht="9" customHeight="1" x14ac:dyDescent="0.15">
      <c r="B159" s="16" t="s">
        <v>811</v>
      </c>
      <c r="C159" s="46" t="s">
        <v>95</v>
      </c>
      <c r="D159" s="16" t="s">
        <v>186</v>
      </c>
      <c r="E159" s="24">
        <v>5</v>
      </c>
      <c r="F159" s="24">
        <v>8.5</v>
      </c>
      <c r="G159" s="36"/>
      <c r="H159" s="25">
        <f t="shared" si="14"/>
        <v>5.5</v>
      </c>
      <c r="I159" s="26">
        <f t="shared" si="12"/>
        <v>10.5</v>
      </c>
      <c r="J159" s="26">
        <f t="shared" si="13"/>
        <v>-2</v>
      </c>
    </row>
    <row r="160" spans="1:16" ht="15" x14ac:dyDescent="0.15">
      <c r="B160" s="16" t="s">
        <v>200</v>
      </c>
      <c r="C160" s="23" t="s">
        <v>486</v>
      </c>
      <c r="D160" s="16" t="s">
        <v>186</v>
      </c>
      <c r="E160" s="24">
        <v>5</v>
      </c>
      <c r="F160" s="24">
        <v>8.5</v>
      </c>
      <c r="G160" s="36"/>
      <c r="H160" s="25">
        <f t="shared" si="14"/>
        <v>5.5</v>
      </c>
      <c r="I160" s="26">
        <f t="shared" si="12"/>
        <v>10.5</v>
      </c>
      <c r="J160" s="26">
        <f t="shared" si="13"/>
        <v>-2</v>
      </c>
    </row>
    <row r="161" spans="1:16" ht="18" customHeight="1" x14ac:dyDescent="0.15">
      <c r="B161" s="16" t="s">
        <v>576</v>
      </c>
      <c r="C161" s="23" t="s">
        <v>294</v>
      </c>
      <c r="D161" s="16" t="s">
        <v>186</v>
      </c>
      <c r="E161" s="24">
        <v>5</v>
      </c>
      <c r="F161" s="24">
        <v>7</v>
      </c>
      <c r="G161" s="36"/>
      <c r="H161" s="25">
        <f t="shared" si="14"/>
        <v>5.5</v>
      </c>
      <c r="I161" s="26">
        <f t="shared" si="12"/>
        <v>10.5</v>
      </c>
      <c r="J161" s="26">
        <f t="shared" si="13"/>
        <v>-3.5</v>
      </c>
    </row>
    <row r="162" spans="1:16" ht="18" customHeight="1" x14ac:dyDescent="0.15">
      <c r="B162" s="16" t="s">
        <v>407</v>
      </c>
      <c r="C162" s="23" t="s">
        <v>54</v>
      </c>
      <c r="D162" s="16" t="s">
        <v>186</v>
      </c>
      <c r="E162" s="24">
        <v>5</v>
      </c>
      <c r="F162" s="24">
        <v>7</v>
      </c>
      <c r="G162" s="36"/>
      <c r="H162" s="25">
        <f t="shared" si="14"/>
        <v>5.5</v>
      </c>
      <c r="I162" s="26">
        <f t="shared" si="12"/>
        <v>10.5</v>
      </c>
      <c r="J162" s="26">
        <f t="shared" si="13"/>
        <v>-3.5</v>
      </c>
      <c r="L162" s="27"/>
      <c r="M162" s="27"/>
      <c r="N162" s="27"/>
    </row>
    <row r="163" spans="1:16" ht="18" customHeight="1" x14ac:dyDescent="0.15">
      <c r="B163" s="16" t="s">
        <v>529</v>
      </c>
      <c r="C163" s="23" t="s">
        <v>198</v>
      </c>
      <c r="D163" s="16" t="s">
        <v>186</v>
      </c>
      <c r="E163" s="24">
        <v>5</v>
      </c>
      <c r="F163" s="24">
        <v>7</v>
      </c>
      <c r="G163" s="36"/>
      <c r="H163" s="25">
        <f t="shared" si="14"/>
        <v>5.5</v>
      </c>
      <c r="I163" s="26">
        <f t="shared" si="12"/>
        <v>10.5</v>
      </c>
      <c r="J163" s="26">
        <f t="shared" si="13"/>
        <v>-3.5</v>
      </c>
    </row>
    <row r="164" spans="1:16" ht="18" customHeight="1" x14ac:dyDescent="0.15">
      <c r="A164" s="27"/>
      <c r="B164" s="16" t="s">
        <v>409</v>
      </c>
      <c r="C164" s="46" t="s">
        <v>183</v>
      </c>
      <c r="D164" s="16" t="s">
        <v>186</v>
      </c>
      <c r="E164" s="24">
        <v>5</v>
      </c>
      <c r="F164" s="24">
        <v>7</v>
      </c>
      <c r="G164" s="36"/>
      <c r="H164" s="25">
        <f t="shared" si="14"/>
        <v>5.5</v>
      </c>
      <c r="I164" s="26">
        <f t="shared" si="12"/>
        <v>10.5</v>
      </c>
      <c r="J164" s="26">
        <f t="shared" si="13"/>
        <v>-3.5</v>
      </c>
      <c r="K164" s="27"/>
      <c r="O164" s="27"/>
    </row>
    <row r="165" spans="1:16" ht="18" customHeight="1" x14ac:dyDescent="0.15">
      <c r="B165" s="16" t="s">
        <v>812</v>
      </c>
      <c r="C165" s="40" t="s">
        <v>95</v>
      </c>
      <c r="D165" s="16" t="s">
        <v>186</v>
      </c>
      <c r="E165" s="24">
        <v>5</v>
      </c>
      <c r="F165" s="24">
        <v>8</v>
      </c>
      <c r="G165" s="36"/>
      <c r="H165" s="25">
        <f t="shared" si="14"/>
        <v>5.5</v>
      </c>
      <c r="I165" s="26">
        <f t="shared" si="12"/>
        <v>10.5</v>
      </c>
      <c r="J165" s="26">
        <f t="shared" si="13"/>
        <v>-2.5</v>
      </c>
    </row>
    <row r="166" spans="1:16" ht="18" customHeight="1" x14ac:dyDescent="0.15">
      <c r="B166" s="16" t="s">
        <v>279</v>
      </c>
      <c r="C166" s="46" t="s">
        <v>285</v>
      </c>
      <c r="D166" s="16" t="s">
        <v>186</v>
      </c>
      <c r="E166" s="24">
        <v>5</v>
      </c>
      <c r="F166" s="24">
        <v>7</v>
      </c>
      <c r="G166" s="36"/>
      <c r="H166" s="25">
        <f t="shared" si="14"/>
        <v>5.5</v>
      </c>
      <c r="I166" s="26">
        <f t="shared" si="12"/>
        <v>10.5</v>
      </c>
      <c r="J166" s="26">
        <f t="shared" si="13"/>
        <v>-3.5</v>
      </c>
    </row>
    <row r="167" spans="1:16" ht="18" customHeight="1" x14ac:dyDescent="0.15">
      <c r="B167" s="16" t="s">
        <v>189</v>
      </c>
      <c r="C167" s="23" t="s">
        <v>544</v>
      </c>
      <c r="D167" s="16" t="s">
        <v>186</v>
      </c>
      <c r="E167" s="24">
        <v>5</v>
      </c>
      <c r="F167" s="24">
        <v>7</v>
      </c>
      <c r="G167" s="36"/>
      <c r="H167" s="25">
        <f t="shared" si="14"/>
        <v>5.5</v>
      </c>
      <c r="I167" s="26">
        <f t="shared" si="12"/>
        <v>10.5</v>
      </c>
      <c r="J167" s="26">
        <f t="shared" si="13"/>
        <v>-3.5</v>
      </c>
    </row>
    <row r="168" spans="1:16" ht="18" customHeight="1" x14ac:dyDescent="0.15">
      <c r="B168" s="16" t="s">
        <v>181</v>
      </c>
      <c r="C168" s="23" t="s">
        <v>312</v>
      </c>
      <c r="D168" s="16" t="s">
        <v>186</v>
      </c>
      <c r="E168" s="24">
        <v>5</v>
      </c>
      <c r="F168" s="24">
        <v>8</v>
      </c>
      <c r="G168" s="36"/>
      <c r="H168" s="25">
        <f t="shared" si="14"/>
        <v>5.5</v>
      </c>
      <c r="I168" s="26">
        <f t="shared" si="12"/>
        <v>10.5</v>
      </c>
      <c r="J168" s="26">
        <f t="shared" si="13"/>
        <v>-2.5</v>
      </c>
      <c r="P168" s="27"/>
    </row>
    <row r="169" spans="1:16" ht="18" customHeight="1" x14ac:dyDescent="0.15">
      <c r="B169" s="16" t="s">
        <v>526</v>
      </c>
      <c r="C169" s="12" t="s">
        <v>625</v>
      </c>
      <c r="D169" s="16" t="s">
        <v>186</v>
      </c>
      <c r="E169" s="24">
        <v>5</v>
      </c>
      <c r="F169" s="24">
        <v>7</v>
      </c>
      <c r="G169" s="36"/>
      <c r="H169" s="25">
        <f t="shared" si="14"/>
        <v>5.5</v>
      </c>
      <c r="I169" s="26">
        <f t="shared" si="12"/>
        <v>10.5</v>
      </c>
      <c r="J169" s="26">
        <f t="shared" si="13"/>
        <v>-3.5</v>
      </c>
    </row>
    <row r="170" spans="1:16" ht="18" customHeight="1" x14ac:dyDescent="0.15">
      <c r="B170" s="16" t="s">
        <v>465</v>
      </c>
      <c r="C170" s="23" t="s">
        <v>81</v>
      </c>
      <c r="D170" s="16" t="s">
        <v>186</v>
      </c>
      <c r="E170" s="24">
        <v>5</v>
      </c>
      <c r="F170" s="24">
        <v>7</v>
      </c>
      <c r="G170" s="36"/>
      <c r="H170" s="25">
        <f t="shared" si="14"/>
        <v>5.5</v>
      </c>
      <c r="I170" s="26">
        <f t="shared" si="12"/>
        <v>10.5</v>
      </c>
      <c r="J170" s="26">
        <f t="shared" si="13"/>
        <v>-3.5</v>
      </c>
    </row>
    <row r="171" spans="1:16" ht="18" customHeight="1" x14ac:dyDescent="0.15">
      <c r="B171" s="16" t="s">
        <v>687</v>
      </c>
      <c r="C171" s="46" t="s">
        <v>495</v>
      </c>
      <c r="D171" s="16" t="s">
        <v>629</v>
      </c>
      <c r="E171" s="24">
        <v>6</v>
      </c>
      <c r="F171" s="24">
        <v>8.5</v>
      </c>
      <c r="G171" s="36"/>
      <c r="H171" s="25">
        <f t="shared" si="14"/>
        <v>6.6</v>
      </c>
      <c r="I171" s="26">
        <f t="shared" si="12"/>
        <v>12.6</v>
      </c>
      <c r="J171" s="26">
        <f t="shared" si="13"/>
        <v>-4.0999999999999996</v>
      </c>
    </row>
    <row r="172" spans="1:16" ht="18" customHeight="1" x14ac:dyDescent="0.15">
      <c r="B172" s="16" t="s">
        <v>139</v>
      </c>
      <c r="C172" s="23" t="s">
        <v>544</v>
      </c>
      <c r="D172" s="16" t="s">
        <v>629</v>
      </c>
      <c r="E172" s="24">
        <v>5</v>
      </c>
      <c r="F172" s="24">
        <v>7</v>
      </c>
      <c r="G172" s="36"/>
      <c r="H172" s="25">
        <f t="shared" si="14"/>
        <v>5.5</v>
      </c>
      <c r="I172" s="26">
        <f t="shared" si="12"/>
        <v>10.5</v>
      </c>
      <c r="J172" s="26">
        <f t="shared" si="13"/>
        <v>-3.5</v>
      </c>
    </row>
    <row r="173" spans="1:16" ht="18" customHeight="1" x14ac:dyDescent="0.15">
      <c r="B173" s="16" t="s">
        <v>211</v>
      </c>
      <c r="C173" s="23" t="s">
        <v>329</v>
      </c>
      <c r="D173" s="16" t="s">
        <v>629</v>
      </c>
      <c r="E173" s="24">
        <v>5</v>
      </c>
      <c r="F173" s="24">
        <v>7</v>
      </c>
      <c r="G173" s="36"/>
      <c r="H173" s="25">
        <f t="shared" si="14"/>
        <v>5.5</v>
      </c>
      <c r="I173" s="26">
        <f t="shared" si="12"/>
        <v>10.5</v>
      </c>
      <c r="J173" s="26">
        <f t="shared" si="13"/>
        <v>-3.5</v>
      </c>
    </row>
    <row r="174" spans="1:16" ht="18" customHeight="1" x14ac:dyDescent="0.15">
      <c r="B174" s="16" t="s">
        <v>175</v>
      </c>
      <c r="C174" s="46" t="s">
        <v>296</v>
      </c>
      <c r="D174" s="16" t="s">
        <v>655</v>
      </c>
      <c r="E174" s="24">
        <v>6</v>
      </c>
      <c r="F174" s="24">
        <v>9</v>
      </c>
      <c r="G174" s="36"/>
      <c r="H174" s="25">
        <f t="shared" si="14"/>
        <v>6.6</v>
      </c>
      <c r="I174" s="26">
        <f t="shared" si="12"/>
        <v>12.6</v>
      </c>
      <c r="J174" s="26">
        <f t="shared" si="13"/>
        <v>-3.5999999999999996</v>
      </c>
    </row>
    <row r="175" spans="1:16" ht="18" customHeight="1" x14ac:dyDescent="0.15">
      <c r="B175" s="16" t="s">
        <v>613</v>
      </c>
      <c r="C175" s="23" t="s">
        <v>119</v>
      </c>
      <c r="D175" s="16" t="s">
        <v>655</v>
      </c>
      <c r="E175" s="24">
        <v>8</v>
      </c>
      <c r="F175" s="24">
        <v>12.5</v>
      </c>
      <c r="G175" s="36"/>
      <c r="H175" s="25">
        <f t="shared" si="14"/>
        <v>8.8000000000000007</v>
      </c>
      <c r="I175" s="26">
        <f t="shared" si="12"/>
        <v>16.8</v>
      </c>
      <c r="J175" s="26">
        <f t="shared" si="13"/>
        <v>-4.3000000000000007</v>
      </c>
    </row>
    <row r="176" spans="1:16" s="27" customFormat="1" ht="18" customHeight="1" x14ac:dyDescent="0.15">
      <c r="A176" s="22"/>
      <c r="B176" s="16" t="s">
        <v>620</v>
      </c>
      <c r="C176" s="23" t="s">
        <v>466</v>
      </c>
      <c r="D176" s="16" t="s">
        <v>655</v>
      </c>
      <c r="E176" s="24">
        <v>7</v>
      </c>
      <c r="F176" s="24">
        <v>11</v>
      </c>
      <c r="G176" s="36"/>
      <c r="H176" s="25">
        <f t="shared" si="14"/>
        <v>7.7</v>
      </c>
      <c r="I176" s="26">
        <f t="shared" si="12"/>
        <v>14.7</v>
      </c>
      <c r="J176" s="26">
        <f t="shared" si="13"/>
        <v>-3.6999999999999993</v>
      </c>
      <c r="K176" s="22"/>
      <c r="L176" s="22"/>
      <c r="M176" s="22"/>
      <c r="N176" s="22"/>
      <c r="O176" s="22"/>
      <c r="P176" s="22"/>
    </row>
    <row r="177" spans="2:10" ht="18" customHeight="1" x14ac:dyDescent="0.15">
      <c r="B177" s="16" t="s">
        <v>172</v>
      </c>
      <c r="C177" s="46" t="s">
        <v>515</v>
      </c>
      <c r="D177" s="16" t="s">
        <v>655</v>
      </c>
      <c r="E177" s="24">
        <v>7</v>
      </c>
      <c r="F177" s="24">
        <v>11</v>
      </c>
      <c r="G177" s="36"/>
      <c r="H177" s="25">
        <f t="shared" si="14"/>
        <v>7.7</v>
      </c>
      <c r="I177" s="26">
        <f t="shared" si="12"/>
        <v>14.7</v>
      </c>
      <c r="J177" s="26">
        <f t="shared" si="13"/>
        <v>-3.6999999999999993</v>
      </c>
    </row>
    <row r="178" spans="2:10" ht="18" customHeight="1" x14ac:dyDescent="0.15">
      <c r="B178" s="16" t="s">
        <v>144</v>
      </c>
      <c r="C178" s="46" t="s">
        <v>349</v>
      </c>
      <c r="D178" s="16" t="s">
        <v>655</v>
      </c>
      <c r="E178" s="24">
        <v>6</v>
      </c>
      <c r="F178" s="24">
        <v>10</v>
      </c>
      <c r="G178" s="36"/>
      <c r="H178" s="25">
        <f t="shared" si="14"/>
        <v>6.6</v>
      </c>
      <c r="I178" s="26">
        <f t="shared" si="12"/>
        <v>12.6</v>
      </c>
      <c r="J178" s="26">
        <f t="shared" si="13"/>
        <v>-2.5999999999999996</v>
      </c>
    </row>
    <row r="179" spans="2:10" ht="18" customHeight="1" x14ac:dyDescent="0.15">
      <c r="B179" s="16" t="s">
        <v>509</v>
      </c>
      <c r="C179" s="23" t="s">
        <v>294</v>
      </c>
      <c r="D179" s="16" t="s">
        <v>655</v>
      </c>
      <c r="E179" s="24">
        <v>6</v>
      </c>
      <c r="F179" s="24">
        <v>10</v>
      </c>
      <c r="G179" s="36"/>
      <c r="H179" s="25">
        <f t="shared" ref="H179:H240" si="15">E179*110/100</f>
        <v>6.6</v>
      </c>
      <c r="I179" s="26">
        <f t="shared" si="12"/>
        <v>12.6</v>
      </c>
      <c r="J179" s="26">
        <f t="shared" si="13"/>
        <v>-2.5999999999999996</v>
      </c>
    </row>
    <row r="180" spans="2:10" ht="18" customHeight="1" x14ac:dyDescent="0.15">
      <c r="B180" s="16" t="s">
        <v>410</v>
      </c>
      <c r="C180" s="23" t="s">
        <v>54</v>
      </c>
      <c r="D180" s="16" t="s">
        <v>655</v>
      </c>
      <c r="E180" s="24">
        <v>6</v>
      </c>
      <c r="F180" s="24">
        <v>10</v>
      </c>
      <c r="G180" s="36"/>
      <c r="H180" s="25">
        <f t="shared" si="15"/>
        <v>6.6</v>
      </c>
      <c r="I180" s="26">
        <f t="shared" ref="I180:I241" si="16">E180+H180</f>
        <v>12.6</v>
      </c>
      <c r="J180" s="26">
        <f t="shared" ref="J180:J241" si="17">F180-I180</f>
        <v>-2.5999999999999996</v>
      </c>
    </row>
    <row r="181" spans="2:10" ht="18" customHeight="1" x14ac:dyDescent="0.15">
      <c r="B181" s="16" t="s">
        <v>41</v>
      </c>
      <c r="C181" s="23" t="s">
        <v>546</v>
      </c>
      <c r="D181" s="16" t="s">
        <v>655</v>
      </c>
      <c r="E181" s="24">
        <v>6</v>
      </c>
      <c r="F181" s="24">
        <v>10</v>
      </c>
      <c r="G181" s="36"/>
      <c r="H181" s="25">
        <f t="shared" si="15"/>
        <v>6.6</v>
      </c>
      <c r="I181" s="26">
        <f t="shared" si="16"/>
        <v>12.6</v>
      </c>
      <c r="J181" s="26">
        <f t="shared" si="17"/>
        <v>-2.5999999999999996</v>
      </c>
    </row>
    <row r="182" spans="2:10" ht="18" customHeight="1" x14ac:dyDescent="0.15">
      <c r="B182" s="16" t="s">
        <v>663</v>
      </c>
      <c r="C182" s="23" t="s">
        <v>538</v>
      </c>
      <c r="D182" s="16" t="s">
        <v>655</v>
      </c>
      <c r="E182" s="24">
        <v>6</v>
      </c>
      <c r="F182" s="24">
        <v>10</v>
      </c>
      <c r="G182" s="36"/>
      <c r="H182" s="25">
        <f t="shared" si="15"/>
        <v>6.6</v>
      </c>
      <c r="I182" s="26">
        <f t="shared" si="16"/>
        <v>12.6</v>
      </c>
      <c r="J182" s="26">
        <f t="shared" si="17"/>
        <v>-2.5999999999999996</v>
      </c>
    </row>
    <row r="183" spans="2:10" ht="18" customHeight="1" x14ac:dyDescent="0.15">
      <c r="B183" s="16" t="s">
        <v>561</v>
      </c>
      <c r="C183" s="46" t="s">
        <v>590</v>
      </c>
      <c r="D183" s="16" t="s">
        <v>655</v>
      </c>
      <c r="E183" s="24">
        <v>7</v>
      </c>
      <c r="F183" s="24">
        <v>11</v>
      </c>
      <c r="G183" s="36"/>
      <c r="H183" s="25">
        <f t="shared" si="15"/>
        <v>7.7</v>
      </c>
      <c r="I183" s="26">
        <f t="shared" si="16"/>
        <v>14.7</v>
      </c>
      <c r="J183" s="26">
        <f t="shared" si="17"/>
        <v>-3.6999999999999993</v>
      </c>
    </row>
    <row r="184" spans="2:10" ht="18" customHeight="1" x14ac:dyDescent="0.15">
      <c r="B184" s="16" t="s">
        <v>288</v>
      </c>
      <c r="C184" s="23" t="s">
        <v>39</v>
      </c>
      <c r="D184" s="16" t="s">
        <v>655</v>
      </c>
      <c r="E184" s="24">
        <v>6</v>
      </c>
      <c r="F184" s="24">
        <v>9</v>
      </c>
      <c r="G184" s="36"/>
      <c r="H184" s="25">
        <f t="shared" si="15"/>
        <v>6.6</v>
      </c>
      <c r="I184" s="26">
        <f t="shared" si="16"/>
        <v>12.6</v>
      </c>
      <c r="J184" s="26">
        <f t="shared" si="17"/>
        <v>-3.5999999999999996</v>
      </c>
    </row>
    <row r="185" spans="2:10" ht="18" customHeight="1" x14ac:dyDescent="0.15">
      <c r="B185" s="16" t="s">
        <v>148</v>
      </c>
      <c r="C185" s="46" t="s">
        <v>498</v>
      </c>
      <c r="D185" s="16" t="s">
        <v>655</v>
      </c>
      <c r="E185" s="24">
        <v>6</v>
      </c>
      <c r="F185" s="24">
        <v>9</v>
      </c>
      <c r="G185" s="36"/>
      <c r="H185" s="25">
        <f t="shared" si="15"/>
        <v>6.6</v>
      </c>
      <c r="I185" s="26">
        <f t="shared" si="16"/>
        <v>12.6</v>
      </c>
      <c r="J185" s="26">
        <f t="shared" si="17"/>
        <v>-3.5999999999999996</v>
      </c>
    </row>
    <row r="186" spans="2:10" ht="18" customHeight="1" x14ac:dyDescent="0.15">
      <c r="B186" s="16" t="s">
        <v>270</v>
      </c>
      <c r="C186" s="23" t="s">
        <v>544</v>
      </c>
      <c r="D186" s="16" t="s">
        <v>655</v>
      </c>
      <c r="E186" s="24">
        <v>5</v>
      </c>
      <c r="F186" s="24">
        <v>9</v>
      </c>
      <c r="G186" s="36"/>
      <c r="H186" s="25">
        <f t="shared" si="15"/>
        <v>5.5</v>
      </c>
      <c r="I186" s="26">
        <f t="shared" si="16"/>
        <v>10.5</v>
      </c>
      <c r="J186" s="26">
        <f t="shared" si="17"/>
        <v>-1.5</v>
      </c>
    </row>
    <row r="187" spans="2:10" ht="18" customHeight="1" x14ac:dyDescent="0.15">
      <c r="B187" s="16" t="s">
        <v>624</v>
      </c>
      <c r="C187" s="23" t="s">
        <v>154</v>
      </c>
      <c r="D187" s="16" t="s">
        <v>655</v>
      </c>
      <c r="E187" s="24">
        <v>5</v>
      </c>
      <c r="F187" s="24">
        <v>9</v>
      </c>
      <c r="G187" s="36"/>
      <c r="H187" s="25">
        <f t="shared" si="15"/>
        <v>5.5</v>
      </c>
      <c r="I187" s="26">
        <f t="shared" si="16"/>
        <v>10.5</v>
      </c>
      <c r="J187" s="26">
        <f t="shared" si="17"/>
        <v>-1.5</v>
      </c>
    </row>
    <row r="188" spans="2:10" ht="18" customHeight="1" x14ac:dyDescent="0.15">
      <c r="B188" s="16" t="s">
        <v>411</v>
      </c>
      <c r="C188" s="23" t="s">
        <v>312</v>
      </c>
      <c r="D188" s="16" t="s">
        <v>655</v>
      </c>
      <c r="E188" s="24">
        <v>8</v>
      </c>
      <c r="F188" s="24">
        <v>13</v>
      </c>
      <c r="G188" s="36"/>
      <c r="H188" s="25">
        <f t="shared" si="15"/>
        <v>8.8000000000000007</v>
      </c>
      <c r="I188" s="26">
        <f t="shared" si="16"/>
        <v>16.8</v>
      </c>
      <c r="J188" s="26">
        <f t="shared" si="17"/>
        <v>-3.8000000000000007</v>
      </c>
    </row>
    <row r="189" spans="2:10" ht="18" customHeight="1" x14ac:dyDescent="0.15">
      <c r="B189" s="16" t="s">
        <v>252</v>
      </c>
      <c r="C189" s="23" t="s">
        <v>159</v>
      </c>
      <c r="D189" s="16" t="s">
        <v>655</v>
      </c>
      <c r="E189" s="24">
        <v>5</v>
      </c>
      <c r="F189" s="24">
        <v>8</v>
      </c>
      <c r="G189" s="36"/>
      <c r="H189" s="25">
        <f t="shared" si="15"/>
        <v>5.5</v>
      </c>
      <c r="I189" s="26">
        <f t="shared" si="16"/>
        <v>10.5</v>
      </c>
      <c r="J189" s="26">
        <f t="shared" si="17"/>
        <v>-2.5</v>
      </c>
    </row>
    <row r="190" spans="2:10" ht="18" customHeight="1" x14ac:dyDescent="0.15">
      <c r="B190" s="16" t="s">
        <v>779</v>
      </c>
      <c r="C190" s="23" t="s">
        <v>675</v>
      </c>
      <c r="D190" s="16" t="s">
        <v>655</v>
      </c>
      <c r="E190" s="24">
        <v>5</v>
      </c>
      <c r="F190" s="24">
        <v>8</v>
      </c>
      <c r="G190" s="36"/>
      <c r="H190" s="25">
        <f t="shared" si="15"/>
        <v>5.5</v>
      </c>
      <c r="I190" s="26">
        <f t="shared" si="16"/>
        <v>10.5</v>
      </c>
      <c r="J190" s="26">
        <f t="shared" si="17"/>
        <v>-2.5</v>
      </c>
    </row>
    <row r="191" spans="2:10" ht="18" customHeight="1" x14ac:dyDescent="0.15">
      <c r="B191" s="16" t="s">
        <v>729</v>
      </c>
      <c r="C191" s="46" t="s">
        <v>378</v>
      </c>
      <c r="D191" s="16" t="s">
        <v>655</v>
      </c>
      <c r="E191" s="24">
        <v>7</v>
      </c>
      <c r="F191" s="24">
        <v>11</v>
      </c>
      <c r="G191" s="36"/>
      <c r="H191" s="25">
        <f t="shared" si="15"/>
        <v>7.7</v>
      </c>
      <c r="I191" s="26">
        <f t="shared" si="16"/>
        <v>14.7</v>
      </c>
      <c r="J191" s="26">
        <f t="shared" si="17"/>
        <v>-3.6999999999999993</v>
      </c>
    </row>
    <row r="192" spans="2:10" ht="18" customHeight="1" x14ac:dyDescent="0.15">
      <c r="B192" s="16" t="s">
        <v>96</v>
      </c>
      <c r="C192" s="46" t="s">
        <v>625</v>
      </c>
      <c r="D192" s="16" t="s">
        <v>655</v>
      </c>
      <c r="E192" s="24">
        <v>5</v>
      </c>
      <c r="F192" s="24">
        <v>8</v>
      </c>
      <c r="G192" s="36"/>
      <c r="H192" s="25">
        <f t="shared" si="15"/>
        <v>5.5</v>
      </c>
      <c r="I192" s="26">
        <f t="shared" si="16"/>
        <v>10.5</v>
      </c>
      <c r="J192" s="26">
        <f t="shared" si="17"/>
        <v>-2.5</v>
      </c>
    </row>
    <row r="193" spans="2:10" ht="18" customHeight="1" x14ac:dyDescent="0.15">
      <c r="B193" s="16" t="s">
        <v>126</v>
      </c>
      <c r="C193" s="46" t="s">
        <v>182</v>
      </c>
      <c r="D193" s="16" t="s">
        <v>655</v>
      </c>
      <c r="E193" s="24">
        <v>8</v>
      </c>
      <c r="F193" s="24">
        <v>13</v>
      </c>
      <c r="G193" s="36"/>
      <c r="H193" s="25">
        <f t="shared" si="15"/>
        <v>8.8000000000000007</v>
      </c>
      <c r="I193" s="26">
        <f t="shared" si="16"/>
        <v>16.8</v>
      </c>
      <c r="J193" s="26">
        <f t="shared" si="17"/>
        <v>-3.8000000000000007</v>
      </c>
    </row>
    <row r="194" spans="2:10" ht="18" customHeight="1" x14ac:dyDescent="0.15">
      <c r="B194" s="16" t="s">
        <v>297</v>
      </c>
      <c r="C194" s="46" t="s">
        <v>776</v>
      </c>
      <c r="D194" s="16" t="s">
        <v>0</v>
      </c>
      <c r="E194" s="24">
        <v>6</v>
      </c>
      <c r="F194" s="24">
        <v>9</v>
      </c>
      <c r="G194" s="36"/>
      <c r="H194" s="25">
        <f t="shared" si="15"/>
        <v>6.6</v>
      </c>
      <c r="I194" s="26">
        <f t="shared" si="16"/>
        <v>12.6</v>
      </c>
      <c r="J194" s="26">
        <f t="shared" si="17"/>
        <v>-3.5999999999999996</v>
      </c>
    </row>
    <row r="195" spans="2:10" ht="18" customHeight="1" x14ac:dyDescent="0.15">
      <c r="B195" s="16" t="s">
        <v>204</v>
      </c>
      <c r="C195" s="46" t="s">
        <v>35</v>
      </c>
      <c r="D195" s="16" t="s">
        <v>0</v>
      </c>
      <c r="E195" s="24">
        <v>6</v>
      </c>
      <c r="F195" s="24">
        <v>9</v>
      </c>
      <c r="G195" s="36"/>
      <c r="H195" s="25">
        <f t="shared" si="15"/>
        <v>6.6</v>
      </c>
      <c r="I195" s="26">
        <f t="shared" si="16"/>
        <v>12.6</v>
      </c>
      <c r="J195" s="26">
        <f t="shared" si="17"/>
        <v>-3.5999999999999996</v>
      </c>
    </row>
    <row r="196" spans="2:10" ht="18" customHeight="1" x14ac:dyDescent="0.15">
      <c r="B196" s="16" t="s">
        <v>668</v>
      </c>
      <c r="C196" s="46" t="s">
        <v>495</v>
      </c>
      <c r="D196" s="16" t="s">
        <v>0</v>
      </c>
      <c r="E196" s="24">
        <v>7</v>
      </c>
      <c r="F196" s="24">
        <v>11</v>
      </c>
      <c r="G196" s="36"/>
      <c r="H196" s="25">
        <f t="shared" si="15"/>
        <v>7.7</v>
      </c>
      <c r="I196" s="26">
        <f t="shared" si="16"/>
        <v>14.7</v>
      </c>
      <c r="J196" s="26">
        <f t="shared" si="17"/>
        <v>-3.6999999999999993</v>
      </c>
    </row>
    <row r="197" spans="2:10" ht="18" customHeight="1" x14ac:dyDescent="0.15">
      <c r="B197" s="16" t="s">
        <v>389</v>
      </c>
      <c r="C197" s="46" t="s">
        <v>768</v>
      </c>
      <c r="D197" s="16" t="s">
        <v>0</v>
      </c>
      <c r="E197" s="24">
        <v>7.5</v>
      </c>
      <c r="F197" s="24">
        <v>9</v>
      </c>
      <c r="G197" s="36"/>
      <c r="H197" s="25">
        <f t="shared" si="15"/>
        <v>8.25</v>
      </c>
      <c r="I197" s="26">
        <f t="shared" si="16"/>
        <v>15.75</v>
      </c>
      <c r="J197" s="26">
        <f t="shared" si="17"/>
        <v>-6.75</v>
      </c>
    </row>
    <row r="198" spans="2:10" ht="18" customHeight="1" x14ac:dyDescent="0.15">
      <c r="B198" s="16" t="s">
        <v>674</v>
      </c>
      <c r="C198" s="23" t="s">
        <v>486</v>
      </c>
      <c r="D198" s="16" t="s">
        <v>0</v>
      </c>
      <c r="E198" s="24">
        <v>5</v>
      </c>
      <c r="F198" s="24">
        <v>8</v>
      </c>
      <c r="G198" s="36"/>
      <c r="H198" s="25">
        <f t="shared" si="15"/>
        <v>5.5</v>
      </c>
      <c r="I198" s="26">
        <f t="shared" si="16"/>
        <v>10.5</v>
      </c>
      <c r="J198" s="26">
        <f t="shared" si="17"/>
        <v>-2.5</v>
      </c>
    </row>
    <row r="199" spans="2:10" ht="18" customHeight="1" x14ac:dyDescent="0.15">
      <c r="B199" s="16" t="s">
        <v>220</v>
      </c>
      <c r="C199" s="23" t="s">
        <v>294</v>
      </c>
      <c r="D199" s="16" t="s">
        <v>0</v>
      </c>
      <c r="E199" s="24">
        <v>5</v>
      </c>
      <c r="F199" s="24">
        <v>8</v>
      </c>
      <c r="G199" s="36"/>
      <c r="H199" s="25">
        <f t="shared" si="15"/>
        <v>5.5</v>
      </c>
      <c r="I199" s="26">
        <f t="shared" si="16"/>
        <v>10.5</v>
      </c>
      <c r="J199" s="26">
        <f t="shared" si="17"/>
        <v>-2.5</v>
      </c>
    </row>
    <row r="200" spans="2:10" ht="18" customHeight="1" x14ac:dyDescent="0.15">
      <c r="B200" s="16" t="s">
        <v>26</v>
      </c>
      <c r="C200" s="23" t="s">
        <v>218</v>
      </c>
      <c r="D200" s="16" t="s">
        <v>0</v>
      </c>
      <c r="E200" s="24">
        <v>5</v>
      </c>
      <c r="F200" s="24">
        <v>8</v>
      </c>
      <c r="G200" s="36"/>
      <c r="H200" s="25">
        <f t="shared" si="15"/>
        <v>5.5</v>
      </c>
      <c r="I200" s="26">
        <f t="shared" si="16"/>
        <v>10.5</v>
      </c>
      <c r="J200" s="26">
        <f t="shared" si="17"/>
        <v>-2.5</v>
      </c>
    </row>
    <row r="201" spans="2:10" ht="18" customHeight="1" x14ac:dyDescent="0.15">
      <c r="B201" s="16" t="s">
        <v>677</v>
      </c>
      <c r="C201" s="23" t="s">
        <v>290</v>
      </c>
      <c r="D201" s="16" t="s">
        <v>0</v>
      </c>
      <c r="E201" s="24">
        <v>5</v>
      </c>
      <c r="F201" s="24">
        <v>8</v>
      </c>
      <c r="G201" s="36"/>
      <c r="H201" s="25">
        <f t="shared" si="15"/>
        <v>5.5</v>
      </c>
      <c r="I201" s="26">
        <f t="shared" si="16"/>
        <v>10.5</v>
      </c>
      <c r="J201" s="26">
        <f t="shared" si="17"/>
        <v>-2.5</v>
      </c>
    </row>
    <row r="202" spans="2:10" ht="18" customHeight="1" x14ac:dyDescent="0.15">
      <c r="B202" s="16" t="s">
        <v>737</v>
      </c>
      <c r="C202" s="46" t="s">
        <v>183</v>
      </c>
      <c r="D202" s="16" t="s">
        <v>0</v>
      </c>
      <c r="E202" s="24">
        <v>5</v>
      </c>
      <c r="F202" s="24">
        <v>8</v>
      </c>
      <c r="G202" s="36"/>
      <c r="H202" s="25">
        <f t="shared" si="15"/>
        <v>5.5</v>
      </c>
      <c r="I202" s="26">
        <f t="shared" si="16"/>
        <v>10.5</v>
      </c>
      <c r="J202" s="26">
        <f t="shared" si="17"/>
        <v>-2.5</v>
      </c>
    </row>
    <row r="203" spans="2:10" ht="18" customHeight="1" x14ac:dyDescent="0.15">
      <c r="B203" s="16" t="s">
        <v>712</v>
      </c>
      <c r="C203" s="46" t="s">
        <v>95</v>
      </c>
      <c r="D203" s="16" t="s">
        <v>0</v>
      </c>
      <c r="E203" s="24">
        <v>5</v>
      </c>
      <c r="F203" s="24">
        <v>8</v>
      </c>
      <c r="G203" s="36"/>
      <c r="H203" s="25">
        <f t="shared" si="15"/>
        <v>5.5</v>
      </c>
      <c r="I203" s="26">
        <f t="shared" si="16"/>
        <v>10.5</v>
      </c>
      <c r="J203" s="26">
        <f t="shared" si="17"/>
        <v>-2.5</v>
      </c>
    </row>
    <row r="204" spans="2:10" ht="18" customHeight="1" x14ac:dyDescent="0.15">
      <c r="B204" s="16" t="s">
        <v>261</v>
      </c>
      <c r="C204" s="46" t="s">
        <v>285</v>
      </c>
      <c r="D204" s="16" t="s">
        <v>0</v>
      </c>
      <c r="E204" s="24">
        <v>5</v>
      </c>
      <c r="F204" s="24">
        <v>8</v>
      </c>
      <c r="G204" s="36"/>
      <c r="H204" s="25">
        <f t="shared" si="15"/>
        <v>5.5</v>
      </c>
      <c r="I204" s="26">
        <f t="shared" si="16"/>
        <v>10.5</v>
      </c>
      <c r="J204" s="26">
        <f t="shared" si="17"/>
        <v>-2.5</v>
      </c>
    </row>
    <row r="205" spans="2:10" ht="18" customHeight="1" x14ac:dyDescent="0.15">
      <c r="B205" s="16" t="s">
        <v>193</v>
      </c>
      <c r="C205" s="23" t="s">
        <v>97</v>
      </c>
      <c r="D205" s="16" t="s">
        <v>0</v>
      </c>
      <c r="E205" s="24">
        <v>5</v>
      </c>
      <c r="F205" s="24">
        <v>8</v>
      </c>
      <c r="G205" s="36"/>
      <c r="H205" s="25">
        <f t="shared" si="15"/>
        <v>5.5</v>
      </c>
      <c r="I205" s="26">
        <f t="shared" si="16"/>
        <v>10.5</v>
      </c>
      <c r="J205" s="26">
        <f t="shared" si="17"/>
        <v>-2.5</v>
      </c>
    </row>
    <row r="206" spans="2:10" ht="18" customHeight="1" x14ac:dyDescent="0.15">
      <c r="B206" s="16" t="s">
        <v>324</v>
      </c>
      <c r="C206" s="23" t="s">
        <v>312</v>
      </c>
      <c r="D206" s="16" t="s">
        <v>0</v>
      </c>
      <c r="E206" s="24">
        <v>7</v>
      </c>
      <c r="F206" s="24">
        <v>10</v>
      </c>
      <c r="G206" s="36"/>
      <c r="H206" s="25">
        <f t="shared" si="15"/>
        <v>7.7</v>
      </c>
      <c r="I206" s="26">
        <f t="shared" si="16"/>
        <v>14.7</v>
      </c>
      <c r="J206" s="26">
        <f t="shared" si="17"/>
        <v>-4.6999999999999993</v>
      </c>
    </row>
    <row r="207" spans="2:10" ht="18" customHeight="1" x14ac:dyDescent="0.15">
      <c r="B207" s="16" t="s">
        <v>202</v>
      </c>
      <c r="C207" s="12" t="s">
        <v>100</v>
      </c>
      <c r="D207" s="16" t="s">
        <v>0</v>
      </c>
      <c r="E207" s="24">
        <v>5</v>
      </c>
      <c r="F207" s="24">
        <v>8</v>
      </c>
      <c r="G207" s="36"/>
      <c r="H207" s="25">
        <f t="shared" si="15"/>
        <v>5.5</v>
      </c>
      <c r="I207" s="26">
        <f t="shared" si="16"/>
        <v>10.5</v>
      </c>
      <c r="J207" s="26">
        <f t="shared" si="17"/>
        <v>-2.5</v>
      </c>
    </row>
    <row r="208" spans="2:10" ht="18" customHeight="1" x14ac:dyDescent="0.15">
      <c r="B208" s="16" t="s">
        <v>521</v>
      </c>
      <c r="C208" s="46" t="s">
        <v>771</v>
      </c>
      <c r="D208" s="16" t="s">
        <v>0</v>
      </c>
      <c r="E208" s="24">
        <v>5</v>
      </c>
      <c r="F208" s="24">
        <v>8</v>
      </c>
      <c r="G208" s="36"/>
      <c r="H208" s="25">
        <f t="shared" si="15"/>
        <v>5.5</v>
      </c>
      <c r="I208" s="26">
        <f t="shared" si="16"/>
        <v>10.5</v>
      </c>
      <c r="J208" s="26">
        <f t="shared" si="17"/>
        <v>-2.5</v>
      </c>
    </row>
    <row r="209" spans="2:10" ht="18" customHeight="1" x14ac:dyDescent="0.15">
      <c r="B209" s="16" t="s">
        <v>246</v>
      </c>
      <c r="C209" s="23" t="s">
        <v>477</v>
      </c>
      <c r="D209" s="16" t="s">
        <v>0</v>
      </c>
      <c r="E209" s="24">
        <v>5</v>
      </c>
      <c r="F209" s="24">
        <v>8</v>
      </c>
      <c r="G209" s="36"/>
      <c r="H209" s="25">
        <f t="shared" si="15"/>
        <v>5.5</v>
      </c>
      <c r="I209" s="26">
        <f t="shared" si="16"/>
        <v>10.5</v>
      </c>
      <c r="J209" s="26">
        <f t="shared" si="17"/>
        <v>-2.5</v>
      </c>
    </row>
    <row r="210" spans="2:10" ht="18" customHeight="1" x14ac:dyDescent="0.15">
      <c r="B210" s="16" t="s">
        <v>708</v>
      </c>
      <c r="C210" s="46" t="s">
        <v>164</v>
      </c>
      <c r="D210" s="16" t="s">
        <v>0</v>
      </c>
      <c r="E210" s="24">
        <v>5</v>
      </c>
      <c r="F210" s="24">
        <v>8</v>
      </c>
      <c r="G210" s="36"/>
      <c r="H210" s="25">
        <f t="shared" si="15"/>
        <v>5.5</v>
      </c>
      <c r="I210" s="26">
        <f t="shared" si="16"/>
        <v>10.5</v>
      </c>
      <c r="J210" s="26">
        <f t="shared" si="17"/>
        <v>-2.5</v>
      </c>
    </row>
    <row r="211" spans="2:10" ht="18" customHeight="1" x14ac:dyDescent="0.15">
      <c r="B211" s="16" t="s">
        <v>224</v>
      </c>
      <c r="C211" s="46" t="s">
        <v>65</v>
      </c>
      <c r="D211" s="16" t="s">
        <v>0</v>
      </c>
      <c r="E211" s="24">
        <v>6</v>
      </c>
      <c r="F211" s="24">
        <v>9</v>
      </c>
      <c r="G211" s="36"/>
      <c r="H211" s="25">
        <f t="shared" si="15"/>
        <v>6.6</v>
      </c>
      <c r="I211" s="26">
        <f t="shared" si="16"/>
        <v>12.6</v>
      </c>
      <c r="J211" s="26">
        <f t="shared" si="17"/>
        <v>-3.5999999999999996</v>
      </c>
    </row>
    <row r="212" spans="2:10" ht="18" customHeight="1" x14ac:dyDescent="0.15">
      <c r="B212" s="16" t="s">
        <v>423</v>
      </c>
      <c r="C212" s="23" t="s">
        <v>636</v>
      </c>
      <c r="D212" s="16" t="s">
        <v>0</v>
      </c>
      <c r="E212" s="24">
        <v>5</v>
      </c>
      <c r="F212" s="24">
        <v>8</v>
      </c>
      <c r="G212" s="36"/>
      <c r="H212" s="25">
        <f t="shared" si="15"/>
        <v>5.5</v>
      </c>
      <c r="I212" s="26">
        <f t="shared" si="16"/>
        <v>10.5</v>
      </c>
      <c r="J212" s="26">
        <f t="shared" si="17"/>
        <v>-2.5</v>
      </c>
    </row>
    <row r="213" spans="2:10" ht="18" customHeight="1" x14ac:dyDescent="0.15">
      <c r="B213" s="16" t="s">
        <v>3</v>
      </c>
      <c r="C213" s="46" t="s">
        <v>235</v>
      </c>
      <c r="D213" s="16" t="s">
        <v>0</v>
      </c>
      <c r="E213" s="24">
        <v>5</v>
      </c>
      <c r="F213" s="24">
        <v>8</v>
      </c>
      <c r="G213" s="36"/>
      <c r="H213" s="25">
        <f t="shared" si="15"/>
        <v>5.5</v>
      </c>
      <c r="I213" s="26">
        <f t="shared" si="16"/>
        <v>10.5</v>
      </c>
      <c r="J213" s="26">
        <f t="shared" si="17"/>
        <v>-2.5</v>
      </c>
    </row>
    <row r="214" spans="2:10" ht="18" customHeight="1" x14ac:dyDescent="0.15">
      <c r="B214" s="16" t="s">
        <v>213</v>
      </c>
      <c r="C214" s="46" t="s">
        <v>85</v>
      </c>
      <c r="D214" s="16" t="s">
        <v>123</v>
      </c>
      <c r="E214" s="24">
        <v>5</v>
      </c>
      <c r="F214" s="24">
        <v>8</v>
      </c>
      <c r="G214" s="36"/>
      <c r="H214" s="25">
        <f t="shared" si="15"/>
        <v>5.5</v>
      </c>
      <c r="I214" s="26">
        <f t="shared" si="16"/>
        <v>10.5</v>
      </c>
      <c r="J214" s="26">
        <f t="shared" si="17"/>
        <v>-2.5</v>
      </c>
    </row>
    <row r="215" spans="2:10" ht="18" customHeight="1" x14ac:dyDescent="0.15">
      <c r="B215" s="16" t="s">
        <v>33</v>
      </c>
      <c r="C215" s="12" t="s">
        <v>43</v>
      </c>
      <c r="D215" s="16" t="s">
        <v>109</v>
      </c>
      <c r="E215" s="24">
        <v>6</v>
      </c>
      <c r="F215" s="24">
        <v>9</v>
      </c>
      <c r="G215" s="36"/>
      <c r="H215" s="25">
        <f t="shared" si="15"/>
        <v>6.6</v>
      </c>
      <c r="I215" s="26">
        <f t="shared" si="16"/>
        <v>12.6</v>
      </c>
      <c r="J215" s="26">
        <f t="shared" si="17"/>
        <v>-3.5999999999999996</v>
      </c>
    </row>
    <row r="216" spans="2:10" ht="18" customHeight="1" x14ac:dyDescent="0.15">
      <c r="B216" s="16" t="s">
        <v>116</v>
      </c>
      <c r="C216" s="46" t="s">
        <v>535</v>
      </c>
      <c r="D216" s="16" t="s">
        <v>109</v>
      </c>
      <c r="E216" s="24">
        <v>5</v>
      </c>
      <c r="F216" s="24">
        <v>8</v>
      </c>
      <c r="G216" s="36"/>
      <c r="H216" s="25">
        <f t="shared" si="15"/>
        <v>5.5</v>
      </c>
      <c r="I216" s="26">
        <f t="shared" si="16"/>
        <v>10.5</v>
      </c>
      <c r="J216" s="26">
        <f t="shared" si="17"/>
        <v>-2.5</v>
      </c>
    </row>
    <row r="217" spans="2:10" ht="18" customHeight="1" x14ac:dyDescent="0.15">
      <c r="B217" s="16" t="s">
        <v>766</v>
      </c>
      <c r="C217" s="46" t="s">
        <v>615</v>
      </c>
      <c r="D217" s="16" t="s">
        <v>109</v>
      </c>
      <c r="E217" s="24">
        <v>6</v>
      </c>
      <c r="F217" s="24">
        <v>9</v>
      </c>
      <c r="G217" s="36"/>
      <c r="H217" s="25">
        <f t="shared" si="15"/>
        <v>6.6</v>
      </c>
      <c r="I217" s="26">
        <f t="shared" si="16"/>
        <v>12.6</v>
      </c>
      <c r="J217" s="26">
        <f t="shared" si="17"/>
        <v>-3.5999999999999996</v>
      </c>
    </row>
    <row r="218" spans="2:10" ht="18" customHeight="1" x14ac:dyDescent="0.15">
      <c r="B218" s="17" t="s">
        <v>245</v>
      </c>
      <c r="C218" s="23" t="s">
        <v>180</v>
      </c>
      <c r="D218" s="16" t="s">
        <v>109</v>
      </c>
      <c r="E218" s="24">
        <v>5</v>
      </c>
      <c r="F218" s="24">
        <v>8</v>
      </c>
      <c r="G218" s="36"/>
      <c r="H218" s="25">
        <f t="shared" si="15"/>
        <v>5.5</v>
      </c>
      <c r="I218" s="26">
        <f t="shared" si="16"/>
        <v>10.5</v>
      </c>
      <c r="J218" s="26">
        <f t="shared" si="17"/>
        <v>-2.5</v>
      </c>
    </row>
    <row r="219" spans="2:10" ht="18" customHeight="1" x14ac:dyDescent="0.15">
      <c r="B219" s="17" t="s">
        <v>432</v>
      </c>
      <c r="C219" s="33" t="s">
        <v>792</v>
      </c>
      <c r="D219" s="16" t="s">
        <v>109</v>
      </c>
      <c r="E219" s="24">
        <v>5</v>
      </c>
      <c r="F219" s="24">
        <v>8</v>
      </c>
      <c r="G219" s="36"/>
      <c r="H219" s="25">
        <f t="shared" si="15"/>
        <v>5.5</v>
      </c>
      <c r="I219" s="26">
        <f t="shared" si="16"/>
        <v>10.5</v>
      </c>
      <c r="J219" s="26">
        <f t="shared" si="17"/>
        <v>-2.5</v>
      </c>
    </row>
    <row r="220" spans="2:10" ht="18" customHeight="1" x14ac:dyDescent="0.15">
      <c r="B220" s="17" t="s">
        <v>374</v>
      </c>
      <c r="C220" s="46" t="s">
        <v>690</v>
      </c>
      <c r="D220" s="16" t="s">
        <v>109</v>
      </c>
      <c r="E220" s="24">
        <v>5</v>
      </c>
      <c r="F220" s="24">
        <v>8</v>
      </c>
      <c r="G220" s="36"/>
      <c r="H220" s="25">
        <f t="shared" si="15"/>
        <v>5.5</v>
      </c>
      <c r="I220" s="26">
        <f t="shared" si="16"/>
        <v>10.5</v>
      </c>
      <c r="J220" s="26">
        <f t="shared" si="17"/>
        <v>-2.5</v>
      </c>
    </row>
    <row r="221" spans="2:10" ht="18" customHeight="1" x14ac:dyDescent="0.15">
      <c r="B221" s="17" t="s">
        <v>236</v>
      </c>
      <c r="C221" s="46" t="s">
        <v>577</v>
      </c>
      <c r="D221" s="16" t="s">
        <v>109</v>
      </c>
      <c r="E221" s="24">
        <v>5</v>
      </c>
      <c r="F221" s="24">
        <v>8</v>
      </c>
      <c r="G221" s="36"/>
      <c r="H221" s="25">
        <f t="shared" si="15"/>
        <v>5.5</v>
      </c>
      <c r="I221" s="26">
        <f t="shared" si="16"/>
        <v>10.5</v>
      </c>
      <c r="J221" s="26">
        <f t="shared" si="17"/>
        <v>-2.5</v>
      </c>
    </row>
    <row r="222" spans="2:10" ht="18" customHeight="1" x14ac:dyDescent="0.15">
      <c r="B222" s="17" t="s">
        <v>750</v>
      </c>
      <c r="C222" s="23" t="s">
        <v>241</v>
      </c>
      <c r="D222" s="16" t="s">
        <v>109</v>
      </c>
      <c r="E222" s="24">
        <v>6</v>
      </c>
      <c r="F222" s="24">
        <v>9</v>
      </c>
      <c r="G222" s="36"/>
      <c r="H222" s="25">
        <f t="shared" si="15"/>
        <v>6.6</v>
      </c>
      <c r="I222" s="26">
        <f t="shared" si="16"/>
        <v>12.6</v>
      </c>
      <c r="J222" s="26">
        <f t="shared" si="17"/>
        <v>-3.5999999999999996</v>
      </c>
    </row>
    <row r="223" spans="2:10" ht="18" customHeight="1" x14ac:dyDescent="0.15">
      <c r="B223" s="16" t="s">
        <v>44</v>
      </c>
      <c r="C223" s="23" t="s">
        <v>756</v>
      </c>
      <c r="D223" s="16" t="s">
        <v>428</v>
      </c>
      <c r="E223" s="24">
        <v>6</v>
      </c>
      <c r="F223" s="24">
        <v>9</v>
      </c>
      <c r="G223" s="36"/>
      <c r="H223" s="25">
        <f t="shared" si="15"/>
        <v>6.6</v>
      </c>
      <c r="I223" s="26">
        <f t="shared" si="16"/>
        <v>12.6</v>
      </c>
      <c r="J223" s="26">
        <f t="shared" si="17"/>
        <v>-3.5999999999999996</v>
      </c>
    </row>
    <row r="224" spans="2:10" ht="18" customHeight="1" x14ac:dyDescent="0.15">
      <c r="B224" s="16" t="s">
        <v>600</v>
      </c>
      <c r="C224" s="23" t="s">
        <v>105</v>
      </c>
      <c r="D224" s="16" t="s">
        <v>428</v>
      </c>
      <c r="E224" s="24">
        <v>7</v>
      </c>
      <c r="F224" s="24">
        <v>10</v>
      </c>
      <c r="G224" s="36"/>
      <c r="H224" s="25">
        <f t="shared" si="15"/>
        <v>7.7</v>
      </c>
      <c r="I224" s="26">
        <f t="shared" si="16"/>
        <v>14.7</v>
      </c>
      <c r="J224" s="26">
        <f t="shared" si="17"/>
        <v>-4.6999999999999993</v>
      </c>
    </row>
    <row r="225" spans="2:10" ht="18" customHeight="1" x14ac:dyDescent="0.15">
      <c r="B225" s="16" t="s">
        <v>58</v>
      </c>
      <c r="C225" s="23" t="s">
        <v>487</v>
      </c>
      <c r="D225" s="16" t="s">
        <v>428</v>
      </c>
      <c r="E225" s="24">
        <v>6</v>
      </c>
      <c r="F225" s="24">
        <v>9</v>
      </c>
      <c r="G225" s="36"/>
      <c r="H225" s="25">
        <f t="shared" si="15"/>
        <v>6.6</v>
      </c>
      <c r="I225" s="26">
        <f t="shared" si="16"/>
        <v>12.6</v>
      </c>
      <c r="J225" s="26">
        <f t="shared" si="17"/>
        <v>-3.5999999999999996</v>
      </c>
    </row>
    <row r="226" spans="2:10" ht="18" customHeight="1" x14ac:dyDescent="0.15">
      <c r="B226" s="16" t="s">
        <v>94</v>
      </c>
      <c r="C226" s="46" t="s">
        <v>221</v>
      </c>
      <c r="D226" s="16" t="s">
        <v>428</v>
      </c>
      <c r="E226" s="24">
        <v>5</v>
      </c>
      <c r="F226" s="24">
        <v>8</v>
      </c>
      <c r="G226" s="36"/>
      <c r="H226" s="25">
        <f t="shared" si="15"/>
        <v>5.5</v>
      </c>
      <c r="I226" s="26">
        <f t="shared" si="16"/>
        <v>10.5</v>
      </c>
      <c r="J226" s="26">
        <f t="shared" si="17"/>
        <v>-2.5</v>
      </c>
    </row>
    <row r="227" spans="2:10" ht="18" customHeight="1" x14ac:dyDescent="0.15">
      <c r="B227" s="16" t="s">
        <v>649</v>
      </c>
      <c r="C227" s="23" t="s">
        <v>354</v>
      </c>
      <c r="D227" s="16" t="s">
        <v>428</v>
      </c>
      <c r="E227" s="24">
        <v>5</v>
      </c>
      <c r="F227" s="24">
        <v>8</v>
      </c>
      <c r="G227" s="36"/>
      <c r="H227" s="25">
        <f t="shared" si="15"/>
        <v>5.5</v>
      </c>
      <c r="I227" s="26">
        <f t="shared" si="16"/>
        <v>10.5</v>
      </c>
      <c r="J227" s="26">
        <f t="shared" si="17"/>
        <v>-2.5</v>
      </c>
    </row>
    <row r="228" spans="2:10" ht="18" customHeight="1" x14ac:dyDescent="0.15">
      <c r="B228" s="16" t="s">
        <v>612</v>
      </c>
      <c r="C228" s="46" t="s">
        <v>560</v>
      </c>
      <c r="D228" s="16" t="s">
        <v>428</v>
      </c>
      <c r="E228" s="24">
        <v>5</v>
      </c>
      <c r="F228" s="24">
        <v>8</v>
      </c>
      <c r="G228" s="36"/>
      <c r="H228" s="25">
        <f t="shared" si="15"/>
        <v>5.5</v>
      </c>
      <c r="I228" s="26">
        <f t="shared" si="16"/>
        <v>10.5</v>
      </c>
      <c r="J228" s="26">
        <f t="shared" si="17"/>
        <v>-2.5</v>
      </c>
    </row>
    <row r="229" spans="2:10" ht="18" customHeight="1" x14ac:dyDescent="0.15">
      <c r="B229" s="16" t="s">
        <v>325</v>
      </c>
      <c r="C229" s="23" t="s">
        <v>508</v>
      </c>
      <c r="D229" s="16" t="s">
        <v>428</v>
      </c>
      <c r="E229" s="24">
        <v>7</v>
      </c>
      <c r="F229" s="24">
        <v>10</v>
      </c>
      <c r="G229" s="36"/>
      <c r="H229" s="25">
        <f t="shared" si="15"/>
        <v>7.7</v>
      </c>
      <c r="I229" s="26">
        <f t="shared" si="16"/>
        <v>14.7</v>
      </c>
      <c r="J229" s="26">
        <f t="shared" si="17"/>
        <v>-4.6999999999999993</v>
      </c>
    </row>
    <row r="230" spans="2:10" ht="18" customHeight="1" x14ac:dyDescent="0.15">
      <c r="B230" s="16" t="s">
        <v>214</v>
      </c>
      <c r="C230" s="23" t="s">
        <v>684</v>
      </c>
      <c r="D230" s="16" t="s">
        <v>428</v>
      </c>
      <c r="E230" s="24">
        <v>5</v>
      </c>
      <c r="F230" s="24">
        <v>8</v>
      </c>
      <c r="G230" s="36"/>
      <c r="H230" s="25">
        <f t="shared" si="15"/>
        <v>5.5</v>
      </c>
      <c r="I230" s="26">
        <f t="shared" si="16"/>
        <v>10.5</v>
      </c>
      <c r="J230" s="26">
        <f t="shared" si="17"/>
        <v>-2.5</v>
      </c>
    </row>
    <row r="231" spans="2:10" ht="18" customHeight="1" x14ac:dyDescent="0.15">
      <c r="B231" s="16" t="s">
        <v>243</v>
      </c>
      <c r="C231" s="46" t="s">
        <v>449</v>
      </c>
      <c r="D231" s="16" t="s">
        <v>428</v>
      </c>
      <c r="E231" s="24">
        <v>7</v>
      </c>
      <c r="F231" s="24">
        <v>10</v>
      </c>
      <c r="G231" s="36"/>
      <c r="H231" s="25">
        <f t="shared" si="15"/>
        <v>7.7</v>
      </c>
      <c r="I231" s="26">
        <f t="shared" si="16"/>
        <v>14.7</v>
      </c>
      <c r="J231" s="26">
        <f t="shared" si="17"/>
        <v>-4.6999999999999993</v>
      </c>
    </row>
    <row r="232" spans="2:10" ht="18" customHeight="1" x14ac:dyDescent="0.15">
      <c r="B232" s="16" t="s">
        <v>746</v>
      </c>
      <c r="C232" s="23" t="s">
        <v>582</v>
      </c>
      <c r="D232" s="16" t="s">
        <v>428</v>
      </c>
      <c r="E232" s="24">
        <v>5</v>
      </c>
      <c r="F232" s="24">
        <v>8</v>
      </c>
      <c r="G232" s="36"/>
      <c r="H232" s="25">
        <f t="shared" si="15"/>
        <v>5.5</v>
      </c>
      <c r="I232" s="26">
        <f t="shared" si="16"/>
        <v>10.5</v>
      </c>
      <c r="J232" s="26">
        <f t="shared" si="17"/>
        <v>-2.5</v>
      </c>
    </row>
    <row r="233" spans="2:10" ht="18" customHeight="1" x14ac:dyDescent="0.15">
      <c r="B233" s="16" t="s">
        <v>212</v>
      </c>
      <c r="C233" s="23" t="s">
        <v>401</v>
      </c>
      <c r="D233" s="16" t="s">
        <v>777</v>
      </c>
      <c r="E233" s="24">
        <v>4</v>
      </c>
      <c r="F233" s="24">
        <v>6</v>
      </c>
      <c r="G233" s="36"/>
      <c r="H233" s="25">
        <f t="shared" si="15"/>
        <v>4.4000000000000004</v>
      </c>
      <c r="I233" s="26">
        <f t="shared" si="16"/>
        <v>8.4</v>
      </c>
      <c r="J233" s="26">
        <f t="shared" si="17"/>
        <v>-2.4000000000000004</v>
      </c>
    </row>
    <row r="234" spans="2:10" ht="18" customHeight="1" x14ac:dyDescent="0.15">
      <c r="B234" s="16" t="s">
        <v>147</v>
      </c>
      <c r="C234" s="23" t="s">
        <v>707</v>
      </c>
      <c r="D234" s="16" t="s">
        <v>777</v>
      </c>
      <c r="E234" s="24">
        <v>4</v>
      </c>
      <c r="F234" s="24">
        <v>6</v>
      </c>
      <c r="G234" s="36"/>
      <c r="H234" s="25">
        <f t="shared" si="15"/>
        <v>4.4000000000000004</v>
      </c>
      <c r="I234" s="26">
        <f t="shared" si="16"/>
        <v>8.4</v>
      </c>
      <c r="J234" s="26">
        <f t="shared" si="17"/>
        <v>-2.4000000000000004</v>
      </c>
    </row>
    <row r="235" spans="2:10" ht="18" customHeight="1" x14ac:dyDescent="0.15">
      <c r="B235" s="16" t="s">
        <v>539</v>
      </c>
      <c r="C235" s="23" t="s">
        <v>335</v>
      </c>
      <c r="D235" s="16" t="s">
        <v>777</v>
      </c>
      <c r="E235" s="24">
        <v>3</v>
      </c>
      <c r="F235" s="24">
        <v>4</v>
      </c>
      <c r="G235" s="36"/>
      <c r="H235" s="25">
        <f t="shared" si="15"/>
        <v>3.3</v>
      </c>
      <c r="I235" s="26">
        <f t="shared" si="16"/>
        <v>6.3</v>
      </c>
      <c r="J235" s="26">
        <f t="shared" si="17"/>
        <v>-2.2999999999999998</v>
      </c>
    </row>
    <row r="236" spans="2:10" ht="18" customHeight="1" x14ac:dyDescent="0.15">
      <c r="B236" s="16" t="s">
        <v>482</v>
      </c>
      <c r="C236" s="23" t="s">
        <v>754</v>
      </c>
      <c r="D236" s="16" t="s">
        <v>777</v>
      </c>
      <c r="E236" s="24">
        <v>4</v>
      </c>
      <c r="F236" s="24">
        <v>6</v>
      </c>
      <c r="G236" s="36"/>
      <c r="H236" s="25">
        <f t="shared" si="15"/>
        <v>4.4000000000000004</v>
      </c>
      <c r="I236" s="26">
        <f t="shared" si="16"/>
        <v>8.4</v>
      </c>
      <c r="J236" s="26">
        <f t="shared" si="17"/>
        <v>-2.4000000000000004</v>
      </c>
    </row>
    <row r="237" spans="2:10" ht="18" customHeight="1" x14ac:dyDescent="0.15">
      <c r="B237" s="16" t="s">
        <v>62</v>
      </c>
      <c r="C237" s="23" t="s">
        <v>660</v>
      </c>
      <c r="D237" s="16" t="s">
        <v>777</v>
      </c>
      <c r="E237" s="24">
        <v>2</v>
      </c>
      <c r="F237" s="24">
        <v>3</v>
      </c>
      <c r="G237" s="36"/>
      <c r="H237" s="25">
        <f t="shared" si="15"/>
        <v>2.2000000000000002</v>
      </c>
      <c r="I237" s="26">
        <f t="shared" si="16"/>
        <v>4.2</v>
      </c>
      <c r="J237" s="26">
        <f t="shared" si="17"/>
        <v>-1.2000000000000002</v>
      </c>
    </row>
    <row r="238" spans="2:10" ht="18" customHeight="1" x14ac:dyDescent="0.15">
      <c r="B238" s="17" t="s">
        <v>121</v>
      </c>
      <c r="C238" s="46" t="s">
        <v>764</v>
      </c>
      <c r="D238" s="16" t="s">
        <v>759</v>
      </c>
      <c r="E238" s="24">
        <v>5</v>
      </c>
      <c r="F238" s="24">
        <v>8</v>
      </c>
      <c r="G238" s="36"/>
      <c r="H238" s="25">
        <f t="shared" si="15"/>
        <v>5.5</v>
      </c>
      <c r="I238" s="26">
        <f t="shared" si="16"/>
        <v>10.5</v>
      </c>
      <c r="J238" s="26">
        <f t="shared" si="17"/>
        <v>-2.5</v>
      </c>
    </row>
    <row r="239" spans="2:10" ht="18" customHeight="1" x14ac:dyDescent="0.15">
      <c r="B239" s="16" t="s">
        <v>447</v>
      </c>
      <c r="C239" s="23" t="s">
        <v>319</v>
      </c>
      <c r="D239" s="16" t="s">
        <v>186</v>
      </c>
      <c r="E239" s="24">
        <v>5</v>
      </c>
      <c r="F239" s="24">
        <v>8</v>
      </c>
      <c r="G239" s="36"/>
      <c r="H239" s="25">
        <f t="shared" si="15"/>
        <v>5.5</v>
      </c>
      <c r="I239" s="26">
        <f t="shared" si="16"/>
        <v>10.5</v>
      </c>
      <c r="J239" s="26">
        <f t="shared" si="17"/>
        <v>-2.5</v>
      </c>
    </row>
    <row r="240" spans="2:10" ht="18" customHeight="1" x14ac:dyDescent="0.15">
      <c r="B240" s="16" t="s">
        <v>15</v>
      </c>
      <c r="C240" s="23" t="s">
        <v>504</v>
      </c>
      <c r="D240" s="16" t="s">
        <v>186</v>
      </c>
      <c r="E240" s="24">
        <v>5</v>
      </c>
      <c r="F240" s="24">
        <v>8</v>
      </c>
      <c r="G240" s="36"/>
      <c r="H240" s="25">
        <f t="shared" si="15"/>
        <v>5.5</v>
      </c>
      <c r="I240" s="26">
        <f t="shared" si="16"/>
        <v>10.5</v>
      </c>
      <c r="J240" s="26">
        <f t="shared" si="17"/>
        <v>-2.5</v>
      </c>
    </row>
    <row r="241" spans="2:10" ht="18" customHeight="1" x14ac:dyDescent="0.15">
      <c r="B241" s="16" t="s">
        <v>250</v>
      </c>
      <c r="C241" s="23" t="s">
        <v>456</v>
      </c>
      <c r="D241" s="16" t="s">
        <v>186</v>
      </c>
      <c r="E241" s="24">
        <v>5</v>
      </c>
      <c r="F241" s="24">
        <v>8</v>
      </c>
      <c r="G241" s="36"/>
      <c r="H241" s="25">
        <f t="shared" ref="H241:H300" si="18">E241*110/100</f>
        <v>5.5</v>
      </c>
      <c r="I241" s="26">
        <f t="shared" si="16"/>
        <v>10.5</v>
      </c>
      <c r="J241" s="26">
        <f t="shared" si="17"/>
        <v>-2.5</v>
      </c>
    </row>
    <row r="242" spans="2:10" ht="18" customHeight="1" x14ac:dyDescent="0.15">
      <c r="B242" s="16" t="s">
        <v>300</v>
      </c>
      <c r="C242" s="23" t="s">
        <v>239</v>
      </c>
      <c r="D242" s="16" t="s">
        <v>186</v>
      </c>
      <c r="E242" s="24">
        <v>5</v>
      </c>
      <c r="F242" s="24">
        <v>8</v>
      </c>
      <c r="G242" s="36"/>
      <c r="H242" s="25">
        <f t="shared" si="18"/>
        <v>5.5</v>
      </c>
      <c r="I242" s="26">
        <f t="shared" ref="I242:I301" si="19">E242+H242</f>
        <v>10.5</v>
      </c>
      <c r="J242" s="26">
        <f t="shared" ref="J242:J301" si="20">F242-I242</f>
        <v>-2.5</v>
      </c>
    </row>
    <row r="243" spans="2:10" ht="18" customHeight="1" x14ac:dyDescent="0.15">
      <c r="B243" s="16" t="s">
        <v>280</v>
      </c>
      <c r="C243" s="46" t="s">
        <v>317</v>
      </c>
      <c r="D243" s="16" t="s">
        <v>655</v>
      </c>
      <c r="E243" s="24">
        <v>6</v>
      </c>
      <c r="F243" s="24">
        <v>9</v>
      </c>
      <c r="G243" s="36"/>
      <c r="H243" s="25">
        <f t="shared" si="18"/>
        <v>6.6</v>
      </c>
      <c r="I243" s="26">
        <f t="shared" si="19"/>
        <v>12.6</v>
      </c>
      <c r="J243" s="26">
        <f t="shared" si="20"/>
        <v>-3.5999999999999996</v>
      </c>
    </row>
    <row r="244" spans="2:10" ht="18" customHeight="1" x14ac:dyDescent="0.15">
      <c r="B244" s="16" t="s">
        <v>195</v>
      </c>
      <c r="C244" s="46" t="s">
        <v>332</v>
      </c>
      <c r="D244" s="16" t="s">
        <v>655</v>
      </c>
      <c r="E244" s="24">
        <v>5.5</v>
      </c>
      <c r="F244" s="24">
        <v>9</v>
      </c>
      <c r="G244" s="36"/>
      <c r="H244" s="25">
        <f t="shared" si="18"/>
        <v>6.05</v>
      </c>
      <c r="I244" s="26">
        <f t="shared" si="19"/>
        <v>11.55</v>
      </c>
      <c r="J244" s="26">
        <f t="shared" si="20"/>
        <v>-2.5500000000000007</v>
      </c>
    </row>
    <row r="245" spans="2:10" ht="18" customHeight="1" x14ac:dyDescent="0.15">
      <c r="B245" s="16" t="s">
        <v>323</v>
      </c>
      <c r="C245" s="12" t="s">
        <v>638</v>
      </c>
      <c r="D245" s="16" t="s">
        <v>655</v>
      </c>
      <c r="E245" s="24">
        <v>7</v>
      </c>
      <c r="F245" s="24">
        <v>12</v>
      </c>
      <c r="G245" s="36"/>
      <c r="H245" s="25">
        <f t="shared" si="18"/>
        <v>7.7</v>
      </c>
      <c r="I245" s="26">
        <f t="shared" si="19"/>
        <v>14.7</v>
      </c>
      <c r="J245" s="26">
        <f t="shared" si="20"/>
        <v>-2.6999999999999993</v>
      </c>
    </row>
    <row r="246" spans="2:10" ht="18" customHeight="1" x14ac:dyDescent="0.15">
      <c r="B246" s="16" t="s">
        <v>277</v>
      </c>
      <c r="C246" s="46" t="s">
        <v>772</v>
      </c>
      <c r="D246" s="16" t="s">
        <v>655</v>
      </c>
      <c r="E246" s="24">
        <v>6</v>
      </c>
      <c r="F246" s="24">
        <v>9</v>
      </c>
      <c r="G246" s="36"/>
      <c r="H246" s="25">
        <f t="shared" si="18"/>
        <v>6.6</v>
      </c>
      <c r="I246" s="26">
        <f t="shared" si="19"/>
        <v>12.6</v>
      </c>
      <c r="J246" s="26">
        <f t="shared" si="20"/>
        <v>-3.5999999999999996</v>
      </c>
    </row>
    <row r="247" spans="2:10" ht="18" customHeight="1" x14ac:dyDescent="0.15">
      <c r="B247" s="16" t="s">
        <v>702</v>
      </c>
      <c r="C247" s="46" t="s">
        <v>623</v>
      </c>
      <c r="D247" s="16" t="s">
        <v>655</v>
      </c>
      <c r="E247" s="24">
        <v>6</v>
      </c>
      <c r="F247" s="24">
        <v>9</v>
      </c>
      <c r="G247" s="36"/>
      <c r="H247" s="25">
        <f t="shared" si="18"/>
        <v>6.6</v>
      </c>
      <c r="I247" s="26">
        <f t="shared" si="19"/>
        <v>12.6</v>
      </c>
      <c r="J247" s="26">
        <f t="shared" si="20"/>
        <v>-3.5999999999999996</v>
      </c>
    </row>
    <row r="248" spans="2:10" ht="18" customHeight="1" x14ac:dyDescent="0.15">
      <c r="B248" s="16" t="s">
        <v>380</v>
      </c>
      <c r="C248" s="46" t="s">
        <v>547</v>
      </c>
      <c r="D248" s="16" t="s">
        <v>655</v>
      </c>
      <c r="E248" s="24">
        <v>6</v>
      </c>
      <c r="F248" s="24">
        <v>9</v>
      </c>
      <c r="G248" s="36"/>
      <c r="H248" s="25">
        <f t="shared" si="18"/>
        <v>6.6</v>
      </c>
      <c r="I248" s="26">
        <f t="shared" si="19"/>
        <v>12.6</v>
      </c>
      <c r="J248" s="26">
        <f t="shared" si="20"/>
        <v>-3.5999999999999996</v>
      </c>
    </row>
    <row r="249" spans="2:10" ht="6" customHeight="1" x14ac:dyDescent="0.15">
      <c r="B249" s="16" t="s">
        <v>155</v>
      </c>
      <c r="C249" s="23" t="s">
        <v>473</v>
      </c>
      <c r="D249" s="16" t="s">
        <v>655</v>
      </c>
      <c r="E249" s="24">
        <v>6.5</v>
      </c>
      <c r="F249" s="24">
        <v>10</v>
      </c>
      <c r="G249" s="36"/>
      <c r="H249" s="25">
        <f t="shared" si="18"/>
        <v>7.15</v>
      </c>
      <c r="I249" s="26">
        <f t="shared" si="19"/>
        <v>13.65</v>
      </c>
      <c r="J249" s="26">
        <f t="shared" si="20"/>
        <v>-3.6500000000000004</v>
      </c>
    </row>
    <row r="250" spans="2:10" ht="26" x14ac:dyDescent="0.15">
      <c r="B250" s="16" t="s">
        <v>641</v>
      </c>
      <c r="C250" s="46" t="s">
        <v>206</v>
      </c>
      <c r="D250" s="16" t="s">
        <v>655</v>
      </c>
      <c r="E250" s="24">
        <v>5</v>
      </c>
      <c r="F250" s="24">
        <v>8</v>
      </c>
      <c r="G250" s="36"/>
      <c r="H250" s="25">
        <f t="shared" si="18"/>
        <v>5.5</v>
      </c>
      <c r="I250" s="26">
        <f t="shared" si="19"/>
        <v>10.5</v>
      </c>
      <c r="J250" s="26">
        <f t="shared" si="20"/>
        <v>-2.5</v>
      </c>
    </row>
    <row r="251" spans="2:10" ht="18" customHeight="1" x14ac:dyDescent="0.15">
      <c r="B251" s="16" t="s">
        <v>376</v>
      </c>
      <c r="C251" s="46" t="s">
        <v>739</v>
      </c>
      <c r="D251" s="16" t="s">
        <v>655</v>
      </c>
      <c r="E251" s="24">
        <v>5</v>
      </c>
      <c r="F251" s="24">
        <v>8</v>
      </c>
      <c r="G251" s="36"/>
      <c r="H251" s="25">
        <f t="shared" si="18"/>
        <v>5.5</v>
      </c>
      <c r="I251" s="26">
        <f t="shared" si="19"/>
        <v>10.5</v>
      </c>
      <c r="J251" s="26">
        <f t="shared" si="20"/>
        <v>-2.5</v>
      </c>
    </row>
    <row r="252" spans="2:10" ht="18" customHeight="1" x14ac:dyDescent="0.15">
      <c r="B252" s="16" t="s">
        <v>345</v>
      </c>
      <c r="C252" s="46" t="s">
        <v>761</v>
      </c>
      <c r="D252" s="16" t="s">
        <v>655</v>
      </c>
      <c r="E252" s="24">
        <v>6.5</v>
      </c>
      <c r="F252" s="24">
        <v>10</v>
      </c>
      <c r="G252" s="36"/>
      <c r="H252" s="25">
        <f t="shared" si="18"/>
        <v>7.15</v>
      </c>
      <c r="I252" s="26">
        <f t="shared" si="19"/>
        <v>13.65</v>
      </c>
      <c r="J252" s="26">
        <f t="shared" si="20"/>
        <v>-3.6500000000000004</v>
      </c>
    </row>
    <row r="253" spans="2:10" ht="18" customHeight="1" x14ac:dyDescent="0.15">
      <c r="B253" s="16" t="s">
        <v>444</v>
      </c>
      <c r="C253" s="23" t="s">
        <v>239</v>
      </c>
      <c r="D253" s="16" t="s">
        <v>655</v>
      </c>
      <c r="E253" s="24">
        <v>6.5</v>
      </c>
      <c r="F253" s="24">
        <v>10</v>
      </c>
      <c r="G253" s="36"/>
      <c r="H253" s="25">
        <f t="shared" si="18"/>
        <v>7.15</v>
      </c>
      <c r="I253" s="26">
        <f t="shared" si="19"/>
        <v>13.65</v>
      </c>
      <c r="J253" s="26">
        <f t="shared" si="20"/>
        <v>-3.6500000000000004</v>
      </c>
    </row>
    <row r="254" spans="2:10" ht="18" customHeight="1" x14ac:dyDescent="0.15">
      <c r="B254" s="16" t="s">
        <v>234</v>
      </c>
      <c r="C254" s="23" t="s">
        <v>691</v>
      </c>
      <c r="D254" s="16" t="s">
        <v>655</v>
      </c>
      <c r="E254" s="24">
        <v>6</v>
      </c>
      <c r="F254" s="24">
        <v>10</v>
      </c>
      <c r="G254" s="36"/>
      <c r="H254" s="25">
        <f t="shared" si="18"/>
        <v>6.6</v>
      </c>
      <c r="I254" s="26">
        <f t="shared" si="19"/>
        <v>12.6</v>
      </c>
      <c r="J254" s="26">
        <f t="shared" si="20"/>
        <v>-2.5999999999999996</v>
      </c>
    </row>
    <row r="255" spans="2:10" ht="18" customHeight="1" x14ac:dyDescent="0.15">
      <c r="B255" s="16" t="s">
        <v>610</v>
      </c>
      <c r="C255" s="23" t="s">
        <v>371</v>
      </c>
      <c r="D255" s="16" t="s">
        <v>655</v>
      </c>
      <c r="E255" s="24">
        <v>6.5</v>
      </c>
      <c r="F255" s="24">
        <v>10</v>
      </c>
      <c r="G255" s="36"/>
      <c r="H255" s="25">
        <f t="shared" si="18"/>
        <v>7.15</v>
      </c>
      <c r="I255" s="26">
        <f t="shared" si="19"/>
        <v>13.65</v>
      </c>
      <c r="J255" s="26">
        <f t="shared" si="20"/>
        <v>-3.6500000000000004</v>
      </c>
    </row>
    <row r="256" spans="2:10" ht="18" customHeight="1" x14ac:dyDescent="0.15">
      <c r="B256" s="16" t="s">
        <v>501</v>
      </c>
      <c r="C256" s="23" t="s">
        <v>614</v>
      </c>
      <c r="D256" s="16" t="s">
        <v>0</v>
      </c>
      <c r="E256" s="24">
        <v>3</v>
      </c>
      <c r="F256" s="24">
        <v>5</v>
      </c>
      <c r="G256" s="36"/>
      <c r="H256" s="25">
        <f t="shared" si="18"/>
        <v>3.3</v>
      </c>
      <c r="I256" s="26">
        <f t="shared" si="19"/>
        <v>6.3</v>
      </c>
      <c r="J256" s="26">
        <f t="shared" si="20"/>
        <v>-1.2999999999999998</v>
      </c>
    </row>
    <row r="257" spans="2:10" ht="18" customHeight="1" x14ac:dyDescent="0.15">
      <c r="B257" s="16" t="s">
        <v>760</v>
      </c>
      <c r="C257" s="23" t="s">
        <v>770</v>
      </c>
      <c r="D257" s="16" t="s">
        <v>0</v>
      </c>
      <c r="E257" s="24">
        <v>5</v>
      </c>
      <c r="F257" s="24">
        <v>8</v>
      </c>
      <c r="G257" s="36"/>
      <c r="H257" s="25">
        <f t="shared" si="18"/>
        <v>5.5</v>
      </c>
      <c r="I257" s="26">
        <f t="shared" si="19"/>
        <v>10.5</v>
      </c>
      <c r="J257" s="26">
        <f t="shared" si="20"/>
        <v>-2.5</v>
      </c>
    </row>
    <row r="258" spans="2:10" ht="18" customHeight="1" x14ac:dyDescent="0.15">
      <c r="B258" s="16" t="s">
        <v>120</v>
      </c>
      <c r="C258" s="23" t="s">
        <v>719</v>
      </c>
      <c r="D258" s="16" t="s">
        <v>0</v>
      </c>
      <c r="E258" s="24">
        <v>6</v>
      </c>
      <c r="F258" s="24">
        <v>9</v>
      </c>
      <c r="G258" s="36"/>
      <c r="H258" s="25">
        <f t="shared" si="18"/>
        <v>6.6</v>
      </c>
      <c r="I258" s="26">
        <f t="shared" si="19"/>
        <v>12.6</v>
      </c>
      <c r="J258" s="26">
        <f t="shared" si="20"/>
        <v>-3.5999999999999996</v>
      </c>
    </row>
    <row r="259" spans="2:10" ht="18" customHeight="1" x14ac:dyDescent="0.15">
      <c r="B259" s="16" t="s">
        <v>347</v>
      </c>
      <c r="C259" s="46" t="s">
        <v>229</v>
      </c>
      <c r="D259" s="16" t="s">
        <v>385</v>
      </c>
      <c r="E259" s="24">
        <v>3</v>
      </c>
      <c r="F259" s="24">
        <v>4.5</v>
      </c>
      <c r="G259" s="36"/>
      <c r="H259" s="25">
        <f t="shared" si="18"/>
        <v>3.3</v>
      </c>
      <c r="I259" s="26">
        <f t="shared" si="19"/>
        <v>6.3</v>
      </c>
      <c r="J259" s="26">
        <f t="shared" si="20"/>
        <v>-1.7999999999999998</v>
      </c>
    </row>
    <row r="260" spans="2:10" ht="18" customHeight="1" x14ac:dyDescent="0.15">
      <c r="B260" s="16" t="s">
        <v>461</v>
      </c>
      <c r="C260" s="46" t="s">
        <v>161</v>
      </c>
      <c r="D260" s="16" t="s">
        <v>385</v>
      </c>
      <c r="E260" s="24">
        <v>2</v>
      </c>
      <c r="F260" s="24">
        <v>3</v>
      </c>
      <c r="G260" s="36"/>
      <c r="H260" s="25">
        <f t="shared" si="18"/>
        <v>2.2000000000000002</v>
      </c>
      <c r="I260" s="26">
        <f t="shared" si="19"/>
        <v>4.2</v>
      </c>
      <c r="J260" s="26">
        <f t="shared" si="20"/>
        <v>-1.2000000000000002</v>
      </c>
    </row>
    <row r="261" spans="2:10" ht="18" customHeight="1" x14ac:dyDescent="0.15">
      <c r="B261" s="16" t="s">
        <v>308</v>
      </c>
      <c r="C261" s="23" t="s">
        <v>402</v>
      </c>
      <c r="D261" s="16" t="s">
        <v>385</v>
      </c>
      <c r="E261" s="24">
        <v>2</v>
      </c>
      <c r="F261" s="24">
        <v>3</v>
      </c>
      <c r="G261" s="36"/>
      <c r="H261" s="25">
        <f t="shared" si="18"/>
        <v>2.2000000000000002</v>
      </c>
      <c r="I261" s="26">
        <f t="shared" si="19"/>
        <v>4.2</v>
      </c>
      <c r="J261" s="26">
        <f t="shared" si="20"/>
        <v>-1.2000000000000002</v>
      </c>
    </row>
    <row r="262" spans="2:10" ht="18" customHeight="1" x14ac:dyDescent="0.15">
      <c r="B262" s="16" t="s">
        <v>242</v>
      </c>
      <c r="C262" s="23" t="s">
        <v>628</v>
      </c>
      <c r="D262" s="16" t="s">
        <v>109</v>
      </c>
      <c r="E262" s="24">
        <v>4.5</v>
      </c>
      <c r="F262" s="24">
        <v>6.75</v>
      </c>
      <c r="G262" s="36"/>
      <c r="H262" s="25">
        <f t="shared" si="18"/>
        <v>4.95</v>
      </c>
      <c r="I262" s="26">
        <f t="shared" si="19"/>
        <v>9.4499999999999993</v>
      </c>
      <c r="J262" s="26">
        <f t="shared" si="20"/>
        <v>-2.6999999999999993</v>
      </c>
    </row>
    <row r="263" spans="2:10" ht="18" customHeight="1" x14ac:dyDescent="0.15">
      <c r="B263" s="16" t="s">
        <v>86</v>
      </c>
      <c r="C263" s="23" t="s">
        <v>489</v>
      </c>
      <c r="D263" s="16" t="s">
        <v>777</v>
      </c>
      <c r="E263" s="24">
        <v>5.5</v>
      </c>
      <c r="F263" s="24">
        <v>9</v>
      </c>
      <c r="G263" s="36"/>
      <c r="H263" s="25">
        <f t="shared" si="18"/>
        <v>6.05</v>
      </c>
      <c r="I263" s="26">
        <f t="shared" si="19"/>
        <v>11.55</v>
      </c>
      <c r="J263" s="26">
        <f t="shared" si="20"/>
        <v>-2.5500000000000007</v>
      </c>
    </row>
    <row r="264" spans="2:10" ht="18" customHeight="1" x14ac:dyDescent="0.15">
      <c r="B264" s="11" t="s">
        <v>511</v>
      </c>
      <c r="C264" s="23" t="s">
        <v>736</v>
      </c>
      <c r="D264" s="16" t="s">
        <v>777</v>
      </c>
      <c r="E264" s="24">
        <v>4</v>
      </c>
      <c r="F264" s="24">
        <v>6</v>
      </c>
      <c r="G264" s="36"/>
      <c r="H264" s="25">
        <f t="shared" si="18"/>
        <v>4.4000000000000004</v>
      </c>
      <c r="I264" s="26">
        <f t="shared" si="19"/>
        <v>8.4</v>
      </c>
      <c r="J264" s="26">
        <f t="shared" si="20"/>
        <v>-2.4000000000000004</v>
      </c>
    </row>
    <row r="265" spans="2:10" ht="18" customHeight="1" x14ac:dyDescent="0.15">
      <c r="B265" s="16" t="s">
        <v>129</v>
      </c>
      <c r="C265" s="23" t="s">
        <v>190</v>
      </c>
      <c r="D265" s="16" t="s">
        <v>777</v>
      </c>
      <c r="E265" s="24">
        <v>5</v>
      </c>
      <c r="F265" s="24">
        <v>8</v>
      </c>
      <c r="G265" s="36"/>
      <c r="H265" s="25">
        <f t="shared" si="18"/>
        <v>5.5</v>
      </c>
      <c r="I265" s="26">
        <f t="shared" si="19"/>
        <v>10.5</v>
      </c>
      <c r="J265" s="26">
        <f t="shared" si="20"/>
        <v>-2.5</v>
      </c>
    </row>
    <row r="266" spans="2:10" ht="18" customHeight="1" x14ac:dyDescent="0.15">
      <c r="B266" s="16" t="s">
        <v>356</v>
      </c>
      <c r="C266" s="23" t="s">
        <v>757</v>
      </c>
      <c r="D266" s="16" t="s">
        <v>777</v>
      </c>
      <c r="E266" s="24">
        <v>5.5</v>
      </c>
      <c r="F266" s="24">
        <v>8</v>
      </c>
      <c r="G266" s="36"/>
      <c r="H266" s="25">
        <f t="shared" si="18"/>
        <v>6.05</v>
      </c>
      <c r="I266" s="26">
        <f t="shared" si="19"/>
        <v>11.55</v>
      </c>
      <c r="J266" s="26">
        <f t="shared" si="20"/>
        <v>-3.5500000000000007</v>
      </c>
    </row>
    <row r="267" spans="2:10" ht="18" customHeight="1" x14ac:dyDescent="0.15">
      <c r="B267" s="16" t="s">
        <v>163</v>
      </c>
      <c r="C267" s="23" t="s">
        <v>747</v>
      </c>
      <c r="D267" s="16" t="s">
        <v>186</v>
      </c>
      <c r="E267" s="24">
        <v>6</v>
      </c>
      <c r="F267" s="24">
        <v>9</v>
      </c>
      <c r="G267" s="36"/>
      <c r="H267" s="25">
        <f t="shared" si="18"/>
        <v>6.6</v>
      </c>
      <c r="I267" s="26">
        <f t="shared" si="19"/>
        <v>12.6</v>
      </c>
      <c r="J267" s="26">
        <f t="shared" si="20"/>
        <v>-3.5999999999999996</v>
      </c>
    </row>
    <row r="268" spans="2:10" ht="18" customHeight="1" x14ac:dyDescent="0.15">
      <c r="B268" s="16" t="s">
        <v>146</v>
      </c>
      <c r="C268" s="23" t="s">
        <v>184</v>
      </c>
      <c r="D268" s="16" t="s">
        <v>186</v>
      </c>
      <c r="E268" s="24">
        <v>6</v>
      </c>
      <c r="F268" s="24">
        <v>9</v>
      </c>
      <c r="G268" s="36"/>
      <c r="H268" s="25">
        <f t="shared" si="18"/>
        <v>6.6</v>
      </c>
      <c r="I268" s="26">
        <f t="shared" si="19"/>
        <v>12.6</v>
      </c>
      <c r="J268" s="26">
        <f t="shared" si="20"/>
        <v>-3.5999999999999996</v>
      </c>
    </row>
    <row r="269" spans="2:10" ht="18" customHeight="1" x14ac:dyDescent="0.15">
      <c r="B269" s="16" t="s">
        <v>520</v>
      </c>
      <c r="C269" s="23" t="s">
        <v>328</v>
      </c>
      <c r="D269" s="16" t="s">
        <v>186</v>
      </c>
      <c r="E269" s="24">
        <v>6</v>
      </c>
      <c r="F269" s="24">
        <v>9</v>
      </c>
      <c r="G269" s="36"/>
      <c r="H269" s="25">
        <f t="shared" si="18"/>
        <v>6.6</v>
      </c>
      <c r="I269" s="26">
        <f t="shared" si="19"/>
        <v>12.6</v>
      </c>
      <c r="J269" s="26">
        <f t="shared" si="20"/>
        <v>-3.5999999999999996</v>
      </c>
    </row>
    <row r="270" spans="2:10" ht="18" customHeight="1" x14ac:dyDescent="0.15">
      <c r="B270" s="16" t="s">
        <v>5</v>
      </c>
      <c r="C270" s="46" t="s">
        <v>152</v>
      </c>
      <c r="D270" s="16" t="s">
        <v>186</v>
      </c>
      <c r="E270" s="24">
        <v>6</v>
      </c>
      <c r="F270" s="24">
        <v>9</v>
      </c>
      <c r="G270" s="36"/>
      <c r="H270" s="25">
        <f t="shared" si="18"/>
        <v>6.6</v>
      </c>
      <c r="I270" s="26">
        <f t="shared" si="19"/>
        <v>12.6</v>
      </c>
      <c r="J270" s="26">
        <f t="shared" si="20"/>
        <v>-3.5999999999999996</v>
      </c>
    </row>
    <row r="271" spans="2:10" ht="18" customHeight="1" x14ac:dyDescent="0.15">
      <c r="B271" s="16" t="s">
        <v>657</v>
      </c>
      <c r="C271" s="12" t="s">
        <v>710</v>
      </c>
      <c r="D271" s="16" t="s">
        <v>186</v>
      </c>
      <c r="E271" s="24">
        <v>5</v>
      </c>
      <c r="F271" s="24">
        <v>8</v>
      </c>
      <c r="G271" s="36"/>
      <c r="H271" s="25">
        <f t="shared" si="18"/>
        <v>5.5</v>
      </c>
      <c r="I271" s="26">
        <f t="shared" si="19"/>
        <v>10.5</v>
      </c>
      <c r="J271" s="26">
        <f t="shared" si="20"/>
        <v>-2.5</v>
      </c>
    </row>
    <row r="272" spans="2:10" ht="18" customHeight="1" x14ac:dyDescent="0.15">
      <c r="B272" s="16" t="s">
        <v>391</v>
      </c>
      <c r="C272" s="12" t="s">
        <v>233</v>
      </c>
      <c r="D272" s="16" t="s">
        <v>186</v>
      </c>
      <c r="E272" s="24">
        <v>6</v>
      </c>
      <c r="F272" s="24">
        <v>9</v>
      </c>
      <c r="G272" s="36"/>
      <c r="H272" s="25">
        <f t="shared" si="18"/>
        <v>6.6</v>
      </c>
      <c r="I272" s="26">
        <f t="shared" si="19"/>
        <v>12.6</v>
      </c>
      <c r="J272" s="26">
        <f t="shared" si="20"/>
        <v>-3.5999999999999996</v>
      </c>
    </row>
    <row r="273" spans="2:10" ht="18" customHeight="1" x14ac:dyDescent="0.15">
      <c r="B273" s="16" t="s">
        <v>682</v>
      </c>
      <c r="C273" s="23" t="s">
        <v>503</v>
      </c>
      <c r="D273" s="16" t="s">
        <v>186</v>
      </c>
      <c r="E273" s="24">
        <v>5</v>
      </c>
      <c r="F273" s="24">
        <v>8</v>
      </c>
      <c r="G273" s="36"/>
      <c r="H273" s="25">
        <f t="shared" si="18"/>
        <v>5.5</v>
      </c>
      <c r="I273" s="26">
        <f t="shared" si="19"/>
        <v>10.5</v>
      </c>
      <c r="J273" s="26">
        <f t="shared" si="20"/>
        <v>-2.5</v>
      </c>
    </row>
    <row r="274" spans="2:10" ht="18" customHeight="1" x14ac:dyDescent="0.15">
      <c r="B274" s="16" t="s">
        <v>568</v>
      </c>
      <c r="C274" s="23" t="s">
        <v>634</v>
      </c>
      <c r="D274" s="16" t="s">
        <v>186</v>
      </c>
      <c r="E274" s="24">
        <v>6</v>
      </c>
      <c r="F274" s="24">
        <v>9</v>
      </c>
      <c r="G274" s="36"/>
      <c r="H274" s="25">
        <f t="shared" si="18"/>
        <v>6.6</v>
      </c>
      <c r="I274" s="26">
        <f t="shared" si="19"/>
        <v>12.6</v>
      </c>
      <c r="J274" s="26">
        <f t="shared" si="20"/>
        <v>-3.5999999999999996</v>
      </c>
    </row>
    <row r="275" spans="2:10" ht="18" customHeight="1" x14ac:dyDescent="0.15">
      <c r="B275" s="16" t="s">
        <v>339</v>
      </c>
      <c r="C275" s="23" t="s">
        <v>450</v>
      </c>
      <c r="D275" s="16" t="s">
        <v>186</v>
      </c>
      <c r="E275" s="24">
        <v>6</v>
      </c>
      <c r="F275" s="24">
        <v>9</v>
      </c>
      <c r="G275" s="36"/>
      <c r="H275" s="25">
        <f t="shared" si="18"/>
        <v>6.6</v>
      </c>
      <c r="I275" s="26">
        <f t="shared" si="19"/>
        <v>12.6</v>
      </c>
      <c r="J275" s="26">
        <f t="shared" si="20"/>
        <v>-3.5999999999999996</v>
      </c>
    </row>
    <row r="276" spans="2:10" ht="18" customHeight="1" x14ac:dyDescent="0.15">
      <c r="B276" s="16" t="s">
        <v>191</v>
      </c>
      <c r="C276" s="23" t="s">
        <v>110</v>
      </c>
      <c r="D276" s="16" t="s">
        <v>186</v>
      </c>
      <c r="E276" s="24">
        <v>5</v>
      </c>
      <c r="F276" s="24">
        <v>6</v>
      </c>
      <c r="G276" s="36"/>
      <c r="H276" s="25">
        <f t="shared" si="18"/>
        <v>5.5</v>
      </c>
      <c r="I276" s="26">
        <f t="shared" si="19"/>
        <v>10.5</v>
      </c>
      <c r="J276" s="26">
        <f t="shared" si="20"/>
        <v>-4.5</v>
      </c>
    </row>
    <row r="277" spans="2:10" ht="18" customHeight="1" x14ac:dyDescent="0.15">
      <c r="B277" s="16" t="s">
        <v>223</v>
      </c>
      <c r="C277" s="23" t="s">
        <v>343</v>
      </c>
      <c r="D277" s="16" t="s">
        <v>186</v>
      </c>
      <c r="E277" s="24">
        <v>5</v>
      </c>
      <c r="F277" s="24">
        <v>6</v>
      </c>
      <c r="G277" s="36"/>
      <c r="H277" s="25">
        <f t="shared" si="18"/>
        <v>5.5</v>
      </c>
      <c r="I277" s="26">
        <f t="shared" si="19"/>
        <v>10.5</v>
      </c>
      <c r="J277" s="26">
        <f t="shared" si="20"/>
        <v>-4.5</v>
      </c>
    </row>
    <row r="278" spans="2:10" ht="18" customHeight="1" x14ac:dyDescent="0.15">
      <c r="B278" s="16" t="s">
        <v>79</v>
      </c>
      <c r="C278" s="12" t="s">
        <v>394</v>
      </c>
      <c r="D278" s="16" t="s">
        <v>186</v>
      </c>
      <c r="E278" s="24">
        <v>6</v>
      </c>
      <c r="F278" s="24">
        <v>7</v>
      </c>
      <c r="G278" s="36"/>
      <c r="H278" s="25">
        <f t="shared" si="18"/>
        <v>6.6</v>
      </c>
      <c r="I278" s="26">
        <f t="shared" si="19"/>
        <v>12.6</v>
      </c>
      <c r="J278" s="26">
        <f t="shared" si="20"/>
        <v>-5.6</v>
      </c>
    </row>
    <row r="279" spans="2:10" ht="18" customHeight="1" x14ac:dyDescent="0.15">
      <c r="B279" s="16" t="s">
        <v>14</v>
      </c>
      <c r="C279" s="23" t="s">
        <v>271</v>
      </c>
      <c r="D279" s="16" t="s">
        <v>186</v>
      </c>
      <c r="E279" s="24">
        <v>6</v>
      </c>
      <c r="F279" s="24">
        <v>7</v>
      </c>
      <c r="G279" s="36"/>
      <c r="H279" s="25">
        <f t="shared" si="18"/>
        <v>6.6</v>
      </c>
      <c r="I279" s="26">
        <f t="shared" si="19"/>
        <v>12.6</v>
      </c>
      <c r="J279" s="26">
        <f t="shared" si="20"/>
        <v>-5.6</v>
      </c>
    </row>
    <row r="280" spans="2:10" ht="18" customHeight="1" x14ac:dyDescent="0.15">
      <c r="B280" s="16" t="s">
        <v>134</v>
      </c>
      <c r="C280" s="23" t="s">
        <v>611</v>
      </c>
      <c r="D280" s="16" t="s">
        <v>186</v>
      </c>
      <c r="E280" s="24">
        <v>6</v>
      </c>
      <c r="F280" s="24">
        <v>7</v>
      </c>
      <c r="G280" s="36"/>
      <c r="H280" s="25">
        <f t="shared" si="18"/>
        <v>6.6</v>
      </c>
      <c r="I280" s="26">
        <f t="shared" si="19"/>
        <v>12.6</v>
      </c>
      <c r="J280" s="26">
        <f t="shared" si="20"/>
        <v>-5.6</v>
      </c>
    </row>
    <row r="281" spans="2:10" ht="6" customHeight="1" x14ac:dyDescent="0.15">
      <c r="B281" s="16" t="s">
        <v>598</v>
      </c>
      <c r="C281" s="46" t="s">
        <v>276</v>
      </c>
      <c r="D281" s="16" t="s">
        <v>186</v>
      </c>
      <c r="E281" s="24">
        <v>6</v>
      </c>
      <c r="F281" s="24">
        <v>7</v>
      </c>
      <c r="G281" s="36"/>
      <c r="H281" s="25">
        <f t="shared" si="18"/>
        <v>6.6</v>
      </c>
      <c r="I281" s="26">
        <f t="shared" si="19"/>
        <v>12.6</v>
      </c>
      <c r="J281" s="26">
        <f t="shared" si="20"/>
        <v>-5.6</v>
      </c>
    </row>
    <row r="282" spans="2:10" ht="15" x14ac:dyDescent="0.15">
      <c r="B282" s="16" t="s">
        <v>591</v>
      </c>
      <c r="C282" s="23" t="s">
        <v>658</v>
      </c>
      <c r="D282" s="16" t="s">
        <v>186</v>
      </c>
      <c r="E282" s="24">
        <v>6</v>
      </c>
      <c r="F282" s="24">
        <v>7</v>
      </c>
      <c r="G282" s="36"/>
      <c r="H282" s="25">
        <f t="shared" si="18"/>
        <v>6.6</v>
      </c>
      <c r="I282" s="26">
        <f t="shared" si="19"/>
        <v>12.6</v>
      </c>
      <c r="J282" s="26">
        <f t="shared" si="20"/>
        <v>-5.6</v>
      </c>
    </row>
    <row r="283" spans="2:10" ht="18" customHeight="1" x14ac:dyDescent="0.15">
      <c r="B283" s="16" t="s">
        <v>22</v>
      </c>
      <c r="C283" s="23" t="s">
        <v>377</v>
      </c>
      <c r="D283" s="16" t="s">
        <v>186</v>
      </c>
      <c r="E283" s="24">
        <v>5</v>
      </c>
      <c r="F283" s="24">
        <v>6</v>
      </c>
      <c r="G283" s="36"/>
      <c r="H283" s="25">
        <f t="shared" si="18"/>
        <v>5.5</v>
      </c>
      <c r="I283" s="26">
        <f t="shared" si="19"/>
        <v>10.5</v>
      </c>
      <c r="J283" s="26">
        <f t="shared" si="20"/>
        <v>-4.5</v>
      </c>
    </row>
    <row r="284" spans="2:10" ht="18" customHeight="1" x14ac:dyDescent="0.15">
      <c r="B284" s="16" t="s">
        <v>664</v>
      </c>
      <c r="C284" s="23" t="s">
        <v>397</v>
      </c>
      <c r="D284" s="16" t="s">
        <v>186</v>
      </c>
      <c r="E284" s="24">
        <v>5</v>
      </c>
      <c r="F284" s="24">
        <v>6</v>
      </c>
      <c r="G284" s="36"/>
      <c r="H284" s="25">
        <f t="shared" si="18"/>
        <v>5.5</v>
      </c>
      <c r="I284" s="26">
        <f t="shared" si="19"/>
        <v>10.5</v>
      </c>
      <c r="J284" s="26">
        <f t="shared" si="20"/>
        <v>-4.5</v>
      </c>
    </row>
    <row r="285" spans="2:10" ht="18" customHeight="1" x14ac:dyDescent="0.15">
      <c r="B285" s="16" t="s">
        <v>517</v>
      </c>
      <c r="C285" s="23" t="s">
        <v>758</v>
      </c>
      <c r="D285" s="16" t="s">
        <v>186</v>
      </c>
      <c r="E285" s="24">
        <v>5</v>
      </c>
      <c r="F285" s="24">
        <v>6</v>
      </c>
      <c r="G285" s="36"/>
      <c r="H285" s="25">
        <f t="shared" si="18"/>
        <v>5.5</v>
      </c>
      <c r="I285" s="26">
        <f t="shared" si="19"/>
        <v>10.5</v>
      </c>
      <c r="J285" s="26">
        <f t="shared" si="20"/>
        <v>-4.5</v>
      </c>
    </row>
    <row r="286" spans="2:10" ht="18" customHeight="1" x14ac:dyDescent="0.15">
      <c r="B286" s="16" t="s">
        <v>679</v>
      </c>
      <c r="C286" s="23" t="s">
        <v>387</v>
      </c>
      <c r="D286" s="16" t="s">
        <v>186</v>
      </c>
      <c r="E286" s="24">
        <v>6</v>
      </c>
      <c r="F286" s="24">
        <v>9</v>
      </c>
      <c r="G286" s="36"/>
      <c r="H286" s="25">
        <f t="shared" si="18"/>
        <v>6.6</v>
      </c>
      <c r="I286" s="26">
        <f t="shared" si="19"/>
        <v>12.6</v>
      </c>
      <c r="J286" s="26">
        <f t="shared" si="20"/>
        <v>-3.5999999999999996</v>
      </c>
    </row>
    <row r="287" spans="2:10" ht="18" customHeight="1" x14ac:dyDescent="0.15">
      <c r="B287" s="16" t="s">
        <v>50</v>
      </c>
      <c r="C287" s="23" t="s">
        <v>417</v>
      </c>
      <c r="D287" s="16" t="s">
        <v>186</v>
      </c>
      <c r="E287" s="24">
        <v>6</v>
      </c>
      <c r="F287" s="24">
        <v>9</v>
      </c>
      <c r="G287" s="36"/>
      <c r="H287" s="25">
        <f t="shared" si="18"/>
        <v>6.6</v>
      </c>
      <c r="I287" s="26">
        <f t="shared" si="19"/>
        <v>12.6</v>
      </c>
      <c r="J287" s="26">
        <f t="shared" si="20"/>
        <v>-3.5999999999999996</v>
      </c>
    </row>
    <row r="288" spans="2:10" ht="18" customHeight="1" x14ac:dyDescent="0.15">
      <c r="B288" s="16" t="s">
        <v>403</v>
      </c>
      <c r="C288" s="23" t="s">
        <v>506</v>
      </c>
      <c r="D288" s="16" t="s">
        <v>655</v>
      </c>
      <c r="E288" s="24">
        <v>8</v>
      </c>
      <c r="F288" s="24">
        <v>14</v>
      </c>
      <c r="G288" s="36"/>
      <c r="H288" s="25">
        <f t="shared" si="18"/>
        <v>8.8000000000000007</v>
      </c>
      <c r="I288" s="26">
        <f t="shared" si="19"/>
        <v>16.8</v>
      </c>
      <c r="J288" s="26">
        <f t="shared" si="20"/>
        <v>-2.8000000000000007</v>
      </c>
    </row>
    <row r="289" spans="2:10" ht="18" customHeight="1" x14ac:dyDescent="0.15">
      <c r="B289" s="16" t="s">
        <v>762</v>
      </c>
      <c r="C289" s="46" t="s">
        <v>725</v>
      </c>
      <c r="D289" s="16" t="s">
        <v>0</v>
      </c>
      <c r="E289" s="24">
        <v>9</v>
      </c>
      <c r="F289" s="24">
        <v>15</v>
      </c>
      <c r="G289" s="36"/>
      <c r="H289" s="25">
        <f t="shared" si="18"/>
        <v>9.9</v>
      </c>
      <c r="I289" s="26">
        <f t="shared" si="19"/>
        <v>18.899999999999999</v>
      </c>
      <c r="J289" s="26">
        <f t="shared" si="20"/>
        <v>-3.8999999999999986</v>
      </c>
    </row>
    <row r="290" spans="2:10" ht="18" customHeight="1" x14ac:dyDescent="0.15">
      <c r="B290" s="16" t="s">
        <v>686</v>
      </c>
      <c r="C290" s="23" t="s">
        <v>168</v>
      </c>
      <c r="D290" s="16" t="s">
        <v>0</v>
      </c>
      <c r="E290" s="24">
        <v>6</v>
      </c>
      <c r="F290" s="24">
        <v>9</v>
      </c>
      <c r="G290" s="36"/>
      <c r="H290" s="25">
        <f t="shared" si="18"/>
        <v>6.6</v>
      </c>
      <c r="I290" s="26">
        <f t="shared" si="19"/>
        <v>12.6</v>
      </c>
      <c r="J290" s="26">
        <f t="shared" si="20"/>
        <v>-3.5999999999999996</v>
      </c>
    </row>
    <row r="291" spans="2:10" ht="18" customHeight="1" x14ac:dyDescent="0.15">
      <c r="B291" s="16" t="s">
        <v>774</v>
      </c>
      <c r="C291" s="46" t="s">
        <v>738</v>
      </c>
      <c r="D291" s="16" t="s">
        <v>0</v>
      </c>
      <c r="E291" s="24">
        <v>9.5</v>
      </c>
      <c r="F291" s="24">
        <v>16</v>
      </c>
      <c r="G291" s="36"/>
      <c r="H291" s="25">
        <f t="shared" si="18"/>
        <v>10.45</v>
      </c>
      <c r="I291" s="26">
        <f t="shared" si="19"/>
        <v>19.95</v>
      </c>
      <c r="J291" s="26">
        <f t="shared" si="20"/>
        <v>-3.9499999999999993</v>
      </c>
    </row>
    <row r="292" spans="2:10" ht="18" customHeight="1" x14ac:dyDescent="0.15">
      <c r="B292" s="16" t="s">
        <v>106</v>
      </c>
      <c r="C292" s="46" t="s">
        <v>362</v>
      </c>
      <c r="D292" s="16" t="s">
        <v>0</v>
      </c>
      <c r="E292" s="24">
        <v>8</v>
      </c>
      <c r="F292" s="24">
        <v>14</v>
      </c>
      <c r="G292" s="36"/>
      <c r="H292" s="25">
        <f t="shared" si="18"/>
        <v>8.8000000000000007</v>
      </c>
      <c r="I292" s="26">
        <f t="shared" si="19"/>
        <v>16.8</v>
      </c>
      <c r="J292" s="26">
        <f t="shared" si="20"/>
        <v>-2.8000000000000007</v>
      </c>
    </row>
    <row r="293" spans="2:10" ht="18" customHeight="1" x14ac:dyDescent="0.15">
      <c r="B293" s="16" t="s">
        <v>705</v>
      </c>
      <c r="C293" s="46" t="s">
        <v>357</v>
      </c>
      <c r="D293" s="16" t="s">
        <v>109</v>
      </c>
      <c r="E293" s="24">
        <v>6</v>
      </c>
      <c r="F293" s="24">
        <v>9</v>
      </c>
      <c r="G293" s="36"/>
      <c r="H293" s="25">
        <f t="shared" si="18"/>
        <v>6.6</v>
      </c>
      <c r="I293" s="26">
        <f t="shared" si="19"/>
        <v>12.6</v>
      </c>
      <c r="J293" s="26">
        <f t="shared" si="20"/>
        <v>-3.5999999999999996</v>
      </c>
    </row>
    <row r="294" spans="2:10" ht="18" customHeight="1" x14ac:dyDescent="0.15">
      <c r="B294" s="16" t="s">
        <v>741</v>
      </c>
      <c r="C294" s="46" t="s">
        <v>653</v>
      </c>
      <c r="D294" s="16" t="s">
        <v>109</v>
      </c>
      <c r="E294" s="24">
        <v>6</v>
      </c>
      <c r="F294" s="24">
        <v>9</v>
      </c>
      <c r="G294" s="36"/>
      <c r="H294" s="25">
        <f t="shared" si="18"/>
        <v>6.6</v>
      </c>
      <c r="I294" s="26">
        <f t="shared" si="19"/>
        <v>12.6</v>
      </c>
      <c r="J294" s="26">
        <f t="shared" si="20"/>
        <v>-3.5999999999999996</v>
      </c>
    </row>
    <row r="295" spans="2:10" ht="18" customHeight="1" x14ac:dyDescent="0.15">
      <c r="B295" s="16" t="s">
        <v>740</v>
      </c>
      <c r="C295" s="46" t="s">
        <v>413</v>
      </c>
      <c r="D295" s="16" t="s">
        <v>109</v>
      </c>
      <c r="E295" s="24">
        <v>6.5</v>
      </c>
      <c r="F295" s="24">
        <v>9</v>
      </c>
      <c r="G295" s="36"/>
      <c r="H295" s="25">
        <f t="shared" si="18"/>
        <v>7.15</v>
      </c>
      <c r="I295" s="26">
        <f t="shared" si="19"/>
        <v>13.65</v>
      </c>
      <c r="J295" s="26">
        <f t="shared" si="20"/>
        <v>-4.6500000000000004</v>
      </c>
    </row>
    <row r="296" spans="2:10" ht="18" customHeight="1" x14ac:dyDescent="0.15">
      <c r="B296" s="16" t="s">
        <v>63</v>
      </c>
      <c r="C296" s="46" t="s">
        <v>118</v>
      </c>
      <c r="D296" s="16" t="s">
        <v>109</v>
      </c>
      <c r="E296" s="24">
        <v>6</v>
      </c>
      <c r="F296" s="24">
        <v>9</v>
      </c>
      <c r="G296" s="36"/>
      <c r="H296" s="25">
        <f t="shared" si="18"/>
        <v>6.6</v>
      </c>
      <c r="I296" s="26">
        <f t="shared" si="19"/>
        <v>12.6</v>
      </c>
      <c r="J296" s="26">
        <f t="shared" si="20"/>
        <v>-3.5999999999999996</v>
      </c>
    </row>
    <row r="297" spans="2:10" ht="18" customHeight="1" x14ac:dyDescent="0.15">
      <c r="B297" s="16" t="s">
        <v>439</v>
      </c>
      <c r="C297" s="12" t="s">
        <v>305</v>
      </c>
      <c r="D297" s="16" t="s">
        <v>109</v>
      </c>
      <c r="E297" s="24">
        <v>6</v>
      </c>
      <c r="F297" s="24">
        <v>9</v>
      </c>
      <c r="G297" s="36"/>
      <c r="H297" s="25">
        <f t="shared" si="18"/>
        <v>6.6</v>
      </c>
      <c r="I297" s="26">
        <f t="shared" si="19"/>
        <v>12.6</v>
      </c>
      <c r="J297" s="26">
        <f t="shared" si="20"/>
        <v>-3.5999999999999996</v>
      </c>
    </row>
    <row r="298" spans="2:10" ht="18" customHeight="1" x14ac:dyDescent="0.15">
      <c r="B298" s="16" t="s">
        <v>815</v>
      </c>
      <c r="C298" s="23" t="s">
        <v>816</v>
      </c>
      <c r="D298" s="16" t="s">
        <v>0</v>
      </c>
      <c r="E298" s="24">
        <v>4</v>
      </c>
      <c r="F298" s="24">
        <v>8.4</v>
      </c>
      <c r="G298" s="36"/>
      <c r="H298" s="25">
        <f t="shared" si="18"/>
        <v>4.4000000000000004</v>
      </c>
      <c r="I298" s="26">
        <f t="shared" si="19"/>
        <v>8.4</v>
      </c>
      <c r="J298" s="26">
        <f t="shared" si="20"/>
        <v>0</v>
      </c>
    </row>
    <row r="299" spans="2:10" ht="18" customHeight="1" x14ac:dyDescent="0.15">
      <c r="B299" s="16" t="s">
        <v>665</v>
      </c>
      <c r="C299" s="23" t="s">
        <v>318</v>
      </c>
      <c r="D299" s="16" t="s">
        <v>0</v>
      </c>
      <c r="E299" s="24">
        <v>4</v>
      </c>
      <c r="F299" s="24">
        <v>8.4</v>
      </c>
      <c r="G299" s="36"/>
      <c r="H299" s="25">
        <f t="shared" si="18"/>
        <v>4.4000000000000004</v>
      </c>
      <c r="I299" s="26">
        <f t="shared" si="19"/>
        <v>8.4</v>
      </c>
      <c r="J299" s="26">
        <f t="shared" si="20"/>
        <v>0</v>
      </c>
    </row>
    <row r="300" spans="2:10" ht="18" customHeight="1" x14ac:dyDescent="0.15">
      <c r="B300" s="16" t="s">
        <v>580</v>
      </c>
      <c r="C300" s="23" t="s">
        <v>230</v>
      </c>
      <c r="D300" s="16" t="s">
        <v>0</v>
      </c>
      <c r="E300" s="24">
        <v>4</v>
      </c>
      <c r="F300" s="24">
        <v>8.4</v>
      </c>
      <c r="G300" s="36"/>
      <c r="H300" s="25">
        <f t="shared" si="18"/>
        <v>4.4000000000000004</v>
      </c>
      <c r="I300" s="26">
        <f t="shared" si="19"/>
        <v>8.4</v>
      </c>
      <c r="J300" s="26">
        <f t="shared" si="20"/>
        <v>0</v>
      </c>
    </row>
    <row r="301" spans="2:10" ht="18" customHeight="1" x14ac:dyDescent="0.15">
      <c r="B301" s="16" t="s">
        <v>769</v>
      </c>
      <c r="C301" s="23" t="s">
        <v>301</v>
      </c>
      <c r="D301" s="16" t="s">
        <v>0</v>
      </c>
      <c r="E301" s="24">
        <v>4</v>
      </c>
      <c r="F301" s="24">
        <v>8.4</v>
      </c>
      <c r="G301" s="36"/>
      <c r="H301" s="25">
        <f t="shared" ref="H301:H360" si="21">E301*110/100</f>
        <v>4.4000000000000004</v>
      </c>
      <c r="I301" s="26">
        <f t="shared" si="19"/>
        <v>8.4</v>
      </c>
      <c r="J301" s="26">
        <f t="shared" si="20"/>
        <v>0</v>
      </c>
    </row>
    <row r="302" spans="2:10" ht="18" customHeight="1" x14ac:dyDescent="0.15">
      <c r="B302" s="16" t="s">
        <v>788</v>
      </c>
      <c r="C302" s="23" t="s">
        <v>789</v>
      </c>
      <c r="D302" s="16" t="s">
        <v>597</v>
      </c>
      <c r="E302" s="24">
        <v>5.5</v>
      </c>
      <c r="F302" s="24">
        <v>11.55</v>
      </c>
      <c r="G302" s="36"/>
      <c r="H302" s="25">
        <f t="shared" si="21"/>
        <v>6.05</v>
      </c>
      <c r="I302" s="26">
        <f t="shared" ref="I302:I368" si="22">E302+H302</f>
        <v>11.55</v>
      </c>
      <c r="J302" s="26">
        <f t="shared" ref="J302:J368" si="23">F302-I302</f>
        <v>0</v>
      </c>
    </row>
    <row r="303" spans="2:10" ht="18" customHeight="1" x14ac:dyDescent="0.15">
      <c r="B303" s="16" t="s">
        <v>813</v>
      </c>
      <c r="C303" s="23" t="s">
        <v>814</v>
      </c>
      <c r="D303" s="16" t="s">
        <v>597</v>
      </c>
      <c r="E303" s="24">
        <v>5.5</v>
      </c>
      <c r="F303" s="24">
        <v>11.55</v>
      </c>
      <c r="G303" s="36"/>
      <c r="H303" s="25">
        <f t="shared" si="21"/>
        <v>6.05</v>
      </c>
      <c r="I303" s="26">
        <f t="shared" si="22"/>
        <v>11.55</v>
      </c>
      <c r="J303" s="26">
        <f t="shared" si="23"/>
        <v>0</v>
      </c>
    </row>
    <row r="304" spans="2:10" ht="18" customHeight="1" x14ac:dyDescent="0.15">
      <c r="B304" s="16" t="s">
        <v>836</v>
      </c>
      <c r="C304" s="23" t="s">
        <v>837</v>
      </c>
      <c r="D304" s="16" t="s">
        <v>840</v>
      </c>
      <c r="E304" s="24">
        <v>7</v>
      </c>
      <c r="F304" s="24">
        <v>14.7</v>
      </c>
      <c r="G304" s="36"/>
      <c r="H304" s="25">
        <f t="shared" si="21"/>
        <v>7.7</v>
      </c>
      <c r="I304" s="26">
        <f t="shared" si="22"/>
        <v>14.7</v>
      </c>
      <c r="J304" s="26">
        <f t="shared" si="23"/>
        <v>0</v>
      </c>
    </row>
    <row r="305" spans="1:15" ht="18" customHeight="1" x14ac:dyDescent="0.15">
      <c r="B305" s="16" t="s">
        <v>838</v>
      </c>
      <c r="C305" s="23" t="s">
        <v>839</v>
      </c>
      <c r="D305" s="16" t="s">
        <v>840</v>
      </c>
      <c r="E305" s="24">
        <v>11</v>
      </c>
      <c r="F305" s="24">
        <v>23.1</v>
      </c>
      <c r="G305" s="36"/>
      <c r="H305" s="25">
        <f t="shared" si="21"/>
        <v>12.1</v>
      </c>
      <c r="I305" s="26">
        <f t="shared" si="22"/>
        <v>23.1</v>
      </c>
      <c r="J305" s="26">
        <f t="shared" si="23"/>
        <v>0</v>
      </c>
    </row>
    <row r="306" spans="1:15" ht="18" customHeight="1" x14ac:dyDescent="0.15">
      <c r="B306" s="16" t="s">
        <v>462</v>
      </c>
      <c r="C306" s="23" t="s">
        <v>295</v>
      </c>
      <c r="D306" s="16" t="s">
        <v>215</v>
      </c>
      <c r="E306" s="24">
        <v>6.5</v>
      </c>
      <c r="F306" s="24">
        <v>13.65</v>
      </c>
      <c r="G306" s="36"/>
      <c r="H306" s="25">
        <f t="shared" si="21"/>
        <v>7.15</v>
      </c>
      <c r="I306" s="26">
        <f t="shared" si="22"/>
        <v>13.65</v>
      </c>
      <c r="J306" s="26">
        <f t="shared" si="23"/>
        <v>0</v>
      </c>
    </row>
    <row r="307" spans="1:15" ht="18" customHeight="1" x14ac:dyDescent="0.15">
      <c r="B307" s="16" t="s">
        <v>40</v>
      </c>
      <c r="C307" s="23" t="s">
        <v>602</v>
      </c>
      <c r="D307" s="16" t="s">
        <v>215</v>
      </c>
      <c r="E307" s="24">
        <v>8.5</v>
      </c>
      <c r="F307" s="24">
        <v>17.850000000000001</v>
      </c>
      <c r="G307" s="36"/>
      <c r="H307" s="25">
        <f t="shared" si="21"/>
        <v>9.35</v>
      </c>
      <c r="I307" s="26">
        <f t="shared" si="22"/>
        <v>17.850000000000001</v>
      </c>
      <c r="J307" s="26">
        <f t="shared" si="23"/>
        <v>0</v>
      </c>
    </row>
    <row r="308" spans="1:15" ht="18" customHeight="1" x14ac:dyDescent="0.15">
      <c r="B308" s="16" t="s">
        <v>831</v>
      </c>
      <c r="C308" s="23" t="s">
        <v>832</v>
      </c>
      <c r="D308" s="16" t="s">
        <v>215</v>
      </c>
      <c r="E308" s="24">
        <v>7.5</v>
      </c>
      <c r="F308" s="24">
        <v>15.75</v>
      </c>
      <c r="G308" s="36"/>
      <c r="H308" s="25">
        <f t="shared" si="21"/>
        <v>8.25</v>
      </c>
      <c r="I308" s="26">
        <f t="shared" si="22"/>
        <v>15.75</v>
      </c>
      <c r="J308" s="26">
        <f t="shared" si="23"/>
        <v>0</v>
      </c>
    </row>
    <row r="309" spans="1:15" ht="18" customHeight="1" x14ac:dyDescent="0.15">
      <c r="B309" s="16" t="s">
        <v>330</v>
      </c>
      <c r="C309" s="46" t="s">
        <v>573</v>
      </c>
      <c r="D309" s="16" t="s">
        <v>215</v>
      </c>
      <c r="E309" s="24">
        <v>6.5</v>
      </c>
      <c r="F309" s="24">
        <v>13.65</v>
      </c>
      <c r="G309" s="36"/>
      <c r="H309" s="25">
        <f t="shared" si="21"/>
        <v>7.15</v>
      </c>
      <c r="I309" s="26">
        <f t="shared" si="22"/>
        <v>13.65</v>
      </c>
      <c r="J309" s="26">
        <f t="shared" si="23"/>
        <v>0</v>
      </c>
    </row>
    <row r="310" spans="1:15" ht="18" customHeight="1" x14ac:dyDescent="0.15">
      <c r="B310" s="16" t="s">
        <v>256</v>
      </c>
      <c r="C310" s="23" t="s">
        <v>125</v>
      </c>
      <c r="D310" s="16" t="s">
        <v>215</v>
      </c>
      <c r="E310" s="24">
        <v>7</v>
      </c>
      <c r="F310" s="24">
        <v>14.7</v>
      </c>
      <c r="G310" s="36"/>
      <c r="H310" s="25">
        <f t="shared" si="21"/>
        <v>7.7</v>
      </c>
      <c r="I310" s="26">
        <f t="shared" si="22"/>
        <v>14.7</v>
      </c>
      <c r="J310" s="26">
        <f t="shared" si="23"/>
        <v>0</v>
      </c>
    </row>
    <row r="311" spans="1:15" ht="18" customHeight="1" x14ac:dyDescent="0.15">
      <c r="B311" s="16" t="s">
        <v>117</v>
      </c>
      <c r="C311" s="23" t="s">
        <v>425</v>
      </c>
      <c r="D311" s="16" t="s">
        <v>215</v>
      </c>
      <c r="E311" s="24">
        <v>5.5</v>
      </c>
      <c r="F311" s="24">
        <v>11.55</v>
      </c>
      <c r="G311" s="36"/>
      <c r="H311" s="25">
        <f t="shared" si="21"/>
        <v>6.05</v>
      </c>
      <c r="I311" s="26">
        <f t="shared" si="22"/>
        <v>11.55</v>
      </c>
      <c r="J311" s="26">
        <f t="shared" si="23"/>
        <v>0</v>
      </c>
    </row>
    <row r="312" spans="1:15" ht="18" customHeight="1" x14ac:dyDescent="0.15">
      <c r="B312" s="16" t="s">
        <v>228</v>
      </c>
      <c r="C312" s="23" t="s">
        <v>533</v>
      </c>
      <c r="D312" s="16" t="s">
        <v>215</v>
      </c>
      <c r="E312" s="24">
        <v>4.5</v>
      </c>
      <c r="F312" s="24">
        <v>9.4499999999999993</v>
      </c>
      <c r="G312" s="36"/>
      <c r="H312" s="25">
        <f t="shared" si="21"/>
        <v>4.95</v>
      </c>
      <c r="I312" s="26">
        <f t="shared" si="22"/>
        <v>9.4499999999999993</v>
      </c>
      <c r="J312" s="26">
        <f t="shared" si="23"/>
        <v>0</v>
      </c>
    </row>
    <row r="313" spans="1:15" ht="18" customHeight="1" x14ac:dyDescent="0.15">
      <c r="B313" s="16" t="s">
        <v>551</v>
      </c>
      <c r="C313" s="23" t="s">
        <v>72</v>
      </c>
      <c r="D313" s="16" t="s">
        <v>215</v>
      </c>
      <c r="E313" s="24">
        <v>13</v>
      </c>
      <c r="F313" s="24">
        <v>27.3</v>
      </c>
      <c r="G313" s="36"/>
      <c r="H313" s="25">
        <f t="shared" si="21"/>
        <v>14.3</v>
      </c>
      <c r="I313" s="26">
        <f t="shared" si="22"/>
        <v>27.3</v>
      </c>
      <c r="J313" s="26">
        <f t="shared" si="23"/>
        <v>0</v>
      </c>
    </row>
    <row r="314" spans="1:15" ht="18" customHeight="1" x14ac:dyDescent="0.15">
      <c r="A314" s="29"/>
      <c r="B314" s="17" t="s">
        <v>135</v>
      </c>
      <c r="C314" s="31" t="s">
        <v>767</v>
      </c>
      <c r="D314" s="17" t="s">
        <v>507</v>
      </c>
      <c r="E314" s="28">
        <v>19</v>
      </c>
      <c r="F314" s="24">
        <v>39.9</v>
      </c>
      <c r="G314" s="36"/>
      <c r="H314" s="25">
        <f t="shared" si="21"/>
        <v>20.9</v>
      </c>
      <c r="I314" s="26">
        <f t="shared" si="22"/>
        <v>39.9</v>
      </c>
      <c r="J314" s="26">
        <f t="shared" si="23"/>
        <v>0</v>
      </c>
      <c r="K314" s="29"/>
    </row>
    <row r="315" spans="1:15" ht="18" customHeight="1" x14ac:dyDescent="0.15">
      <c r="A315" s="29"/>
      <c r="B315" s="17" t="s">
        <v>565</v>
      </c>
      <c r="C315" s="31" t="s">
        <v>124</v>
      </c>
      <c r="D315" s="17" t="s">
        <v>507</v>
      </c>
      <c r="E315" s="28">
        <v>32</v>
      </c>
      <c r="F315" s="24">
        <v>67.2</v>
      </c>
      <c r="G315" s="36"/>
      <c r="H315" s="25">
        <f t="shared" si="21"/>
        <v>35.200000000000003</v>
      </c>
      <c r="I315" s="26">
        <f t="shared" si="22"/>
        <v>67.2</v>
      </c>
      <c r="J315" s="26">
        <f t="shared" si="23"/>
        <v>0</v>
      </c>
      <c r="K315" s="29"/>
    </row>
    <row r="316" spans="1:15" ht="18" customHeight="1" x14ac:dyDescent="0.15">
      <c r="B316" s="16" t="s">
        <v>29</v>
      </c>
      <c r="C316" s="46" t="s">
        <v>730</v>
      </c>
      <c r="D316" s="16" t="s">
        <v>289</v>
      </c>
      <c r="E316" s="24">
        <v>12</v>
      </c>
      <c r="F316" s="24">
        <v>25.2</v>
      </c>
      <c r="G316" s="36"/>
      <c r="H316" s="25">
        <f t="shared" si="21"/>
        <v>13.2</v>
      </c>
      <c r="I316" s="26">
        <f t="shared" si="22"/>
        <v>25.2</v>
      </c>
      <c r="J316" s="26">
        <f t="shared" si="23"/>
        <v>0</v>
      </c>
      <c r="L316" s="29"/>
      <c r="M316" s="29"/>
      <c r="N316" s="29"/>
    </row>
    <row r="317" spans="1:15" ht="18" customHeight="1" x14ac:dyDescent="0.15">
      <c r="B317" s="16" t="s">
        <v>171</v>
      </c>
      <c r="C317" s="23" t="s">
        <v>384</v>
      </c>
      <c r="D317" s="16" t="s">
        <v>289</v>
      </c>
      <c r="E317" s="24">
        <v>15</v>
      </c>
      <c r="F317" s="24">
        <v>31.5</v>
      </c>
      <c r="G317" s="36"/>
      <c r="H317" s="25">
        <f t="shared" si="21"/>
        <v>16.5</v>
      </c>
      <c r="I317" s="26">
        <f t="shared" si="22"/>
        <v>31.5</v>
      </c>
      <c r="J317" s="26">
        <f t="shared" si="23"/>
        <v>0</v>
      </c>
      <c r="L317" s="29"/>
      <c r="M317" s="29"/>
      <c r="N317" s="29"/>
    </row>
    <row r="318" spans="1:15" ht="6" customHeight="1" x14ac:dyDescent="0.15">
      <c r="B318" s="16" t="s">
        <v>715</v>
      </c>
      <c r="C318" s="23" t="s">
        <v>115</v>
      </c>
      <c r="D318" s="16" t="s">
        <v>289</v>
      </c>
      <c r="E318" s="24">
        <v>11</v>
      </c>
      <c r="F318" s="24">
        <v>23.1</v>
      </c>
      <c r="G318" s="36"/>
      <c r="H318" s="25">
        <f t="shared" si="21"/>
        <v>12.1</v>
      </c>
      <c r="I318" s="26">
        <f t="shared" si="22"/>
        <v>23.1</v>
      </c>
      <c r="J318" s="26">
        <f t="shared" si="23"/>
        <v>0</v>
      </c>
    </row>
    <row r="319" spans="1:15" ht="30" x14ac:dyDescent="0.15">
      <c r="B319" s="16" t="s">
        <v>563</v>
      </c>
      <c r="C319" s="23" t="s">
        <v>695</v>
      </c>
      <c r="D319" s="16" t="s">
        <v>289</v>
      </c>
      <c r="E319" s="24">
        <v>9</v>
      </c>
      <c r="F319" s="24">
        <v>18.899999999999999</v>
      </c>
      <c r="G319" s="36"/>
      <c r="H319" s="25">
        <f t="shared" si="21"/>
        <v>9.9</v>
      </c>
      <c r="I319" s="26">
        <f t="shared" si="22"/>
        <v>18.899999999999999</v>
      </c>
      <c r="J319" s="26">
        <f t="shared" si="23"/>
        <v>0</v>
      </c>
    </row>
    <row r="320" spans="1:15" ht="20.25" customHeight="1" x14ac:dyDescent="0.15">
      <c r="B320" s="16" t="s">
        <v>74</v>
      </c>
      <c r="C320" s="23" t="s">
        <v>23</v>
      </c>
      <c r="D320" s="16" t="s">
        <v>289</v>
      </c>
      <c r="E320" s="24">
        <v>8</v>
      </c>
      <c r="F320" s="24">
        <v>16.8</v>
      </c>
      <c r="G320" s="36"/>
      <c r="H320" s="25">
        <f t="shared" si="21"/>
        <v>8.8000000000000007</v>
      </c>
      <c r="I320" s="26">
        <f t="shared" si="22"/>
        <v>16.8</v>
      </c>
      <c r="J320" s="26">
        <f t="shared" si="23"/>
        <v>0</v>
      </c>
      <c r="O320" s="29"/>
    </row>
    <row r="321" spans="1:16" ht="20.25" customHeight="1" x14ac:dyDescent="0.15">
      <c r="B321" s="16" t="s">
        <v>575</v>
      </c>
      <c r="C321" s="46" t="s">
        <v>659</v>
      </c>
      <c r="D321" s="16" t="s">
        <v>289</v>
      </c>
      <c r="E321" s="24">
        <v>15</v>
      </c>
      <c r="F321" s="24">
        <v>31.5</v>
      </c>
      <c r="G321" s="36"/>
      <c r="H321" s="25">
        <f t="shared" si="21"/>
        <v>16.5</v>
      </c>
      <c r="I321" s="26">
        <f t="shared" si="22"/>
        <v>31.5</v>
      </c>
      <c r="J321" s="26">
        <f t="shared" si="23"/>
        <v>0</v>
      </c>
      <c r="O321" s="29"/>
    </row>
    <row r="322" spans="1:16" ht="20.25" customHeight="1" x14ac:dyDescent="0.15">
      <c r="B322" s="16" t="s">
        <v>37</v>
      </c>
      <c r="C322" s="46" t="s">
        <v>454</v>
      </c>
      <c r="D322" s="16" t="s">
        <v>289</v>
      </c>
      <c r="E322" s="24">
        <v>11</v>
      </c>
      <c r="F322" s="24">
        <v>23.1</v>
      </c>
      <c r="G322" s="36"/>
      <c r="H322" s="25">
        <f t="shared" si="21"/>
        <v>12.1</v>
      </c>
      <c r="I322" s="26">
        <f t="shared" si="22"/>
        <v>23.1</v>
      </c>
      <c r="J322" s="26">
        <f t="shared" si="23"/>
        <v>0</v>
      </c>
    </row>
    <row r="323" spans="1:16" ht="20.25" customHeight="1" x14ac:dyDescent="0.15">
      <c r="B323" s="16" t="s">
        <v>30</v>
      </c>
      <c r="C323" s="12" t="s">
        <v>745</v>
      </c>
      <c r="D323" s="16" t="s">
        <v>289</v>
      </c>
      <c r="E323" s="24">
        <v>10.5</v>
      </c>
      <c r="F323" s="24">
        <v>22.05</v>
      </c>
      <c r="G323" s="36"/>
      <c r="H323" s="25">
        <f t="shared" si="21"/>
        <v>11.55</v>
      </c>
      <c r="I323" s="26">
        <f t="shared" si="22"/>
        <v>22.05</v>
      </c>
      <c r="J323" s="26">
        <f t="shared" si="23"/>
        <v>0</v>
      </c>
    </row>
    <row r="324" spans="1:16" ht="20.25" customHeight="1" x14ac:dyDescent="0.15">
      <c r="B324" s="16" t="s">
        <v>790</v>
      </c>
      <c r="C324" s="46" t="s">
        <v>791</v>
      </c>
      <c r="D324" s="16" t="s">
        <v>289</v>
      </c>
      <c r="E324" s="24">
        <v>10.5</v>
      </c>
      <c r="F324" s="24">
        <v>22.05</v>
      </c>
      <c r="G324" s="36"/>
      <c r="H324" s="25">
        <f t="shared" si="21"/>
        <v>11.55</v>
      </c>
      <c r="I324" s="26">
        <f t="shared" si="22"/>
        <v>22.05</v>
      </c>
      <c r="J324" s="26">
        <f t="shared" si="23"/>
        <v>0</v>
      </c>
    </row>
    <row r="325" spans="1:16" ht="20.25" customHeight="1" x14ac:dyDescent="0.15">
      <c r="B325" s="16" t="s">
        <v>27</v>
      </c>
      <c r="C325" s="46" t="s">
        <v>207</v>
      </c>
      <c r="D325" s="16" t="s">
        <v>289</v>
      </c>
      <c r="E325" s="24">
        <v>11</v>
      </c>
      <c r="F325" s="24">
        <v>23.1</v>
      </c>
      <c r="G325" s="36"/>
      <c r="H325" s="25">
        <f t="shared" si="21"/>
        <v>12.1</v>
      </c>
      <c r="I325" s="26">
        <f t="shared" si="22"/>
        <v>23.1</v>
      </c>
      <c r="J325" s="26">
        <f t="shared" si="23"/>
        <v>0</v>
      </c>
    </row>
    <row r="326" spans="1:16" ht="20.25" customHeight="1" x14ac:dyDescent="0.15">
      <c r="B326" s="16" t="s">
        <v>32</v>
      </c>
      <c r="C326" s="46" t="s">
        <v>47</v>
      </c>
      <c r="D326" s="16" t="s">
        <v>289</v>
      </c>
      <c r="E326" s="24">
        <v>9</v>
      </c>
      <c r="F326" s="24">
        <v>18.899999999999999</v>
      </c>
      <c r="G326" s="36"/>
      <c r="H326" s="25">
        <f t="shared" si="21"/>
        <v>9.9</v>
      </c>
      <c r="I326" s="26">
        <f t="shared" si="22"/>
        <v>18.899999999999999</v>
      </c>
      <c r="J326" s="26">
        <f t="shared" si="23"/>
        <v>0</v>
      </c>
    </row>
    <row r="327" spans="1:16" ht="20.25" customHeight="1" x14ac:dyDescent="0.15">
      <c r="B327" s="16" t="s">
        <v>414</v>
      </c>
      <c r="C327" s="23" t="s">
        <v>852</v>
      </c>
      <c r="D327" s="16" t="s">
        <v>759</v>
      </c>
      <c r="E327" s="24">
        <v>4</v>
      </c>
      <c r="F327" s="24">
        <v>8.4</v>
      </c>
      <c r="G327" s="36"/>
      <c r="H327" s="25">
        <f t="shared" si="21"/>
        <v>4.4000000000000004</v>
      </c>
      <c r="I327" s="26">
        <f t="shared" si="22"/>
        <v>8.4</v>
      </c>
      <c r="J327" s="26">
        <f t="shared" si="23"/>
        <v>0</v>
      </c>
    </row>
    <row r="328" spans="1:16" ht="20.25" customHeight="1" x14ac:dyDescent="0.15">
      <c r="B328" s="16" t="s">
        <v>272</v>
      </c>
      <c r="C328" s="23" t="s">
        <v>619</v>
      </c>
      <c r="D328" s="16" t="s">
        <v>559</v>
      </c>
      <c r="E328" s="24">
        <v>3</v>
      </c>
      <c r="F328" s="24">
        <v>6.3</v>
      </c>
      <c r="G328" s="36"/>
      <c r="H328" s="25">
        <f t="shared" si="21"/>
        <v>3.3</v>
      </c>
      <c r="I328" s="26">
        <f>E328+H328</f>
        <v>6.3</v>
      </c>
      <c r="J328" s="26">
        <f>F328-I328</f>
        <v>0</v>
      </c>
      <c r="P328" s="29"/>
    </row>
    <row r="329" spans="1:16" ht="20.25" customHeight="1" x14ac:dyDescent="0.15">
      <c r="B329" s="16" t="s">
        <v>853</v>
      </c>
      <c r="C329" s="23" t="s">
        <v>854</v>
      </c>
      <c r="D329" s="16" t="s">
        <v>851</v>
      </c>
      <c r="E329" s="24">
        <v>3</v>
      </c>
      <c r="F329" s="24">
        <v>6.3</v>
      </c>
      <c r="G329" s="36"/>
      <c r="H329" s="25">
        <f t="shared" si="21"/>
        <v>3.3</v>
      </c>
      <c r="I329" s="26">
        <f>E329+H329</f>
        <v>6.3</v>
      </c>
      <c r="J329" s="26">
        <f>F329-I329</f>
        <v>0</v>
      </c>
      <c r="P329" s="29"/>
    </row>
    <row r="330" spans="1:16" ht="20.25" customHeight="1" x14ac:dyDescent="0.15">
      <c r="B330" s="16" t="s">
        <v>845</v>
      </c>
      <c r="C330" s="23" t="s">
        <v>846</v>
      </c>
      <c r="D330" s="16" t="s">
        <v>840</v>
      </c>
      <c r="E330" s="24">
        <v>8</v>
      </c>
      <c r="F330" s="24">
        <v>16.8</v>
      </c>
      <c r="G330" s="36"/>
      <c r="H330" s="25">
        <f t="shared" si="21"/>
        <v>8.8000000000000007</v>
      </c>
      <c r="I330" s="26">
        <f t="shared" si="22"/>
        <v>16.8</v>
      </c>
      <c r="J330" s="26">
        <f t="shared" si="23"/>
        <v>0</v>
      </c>
    </row>
    <row r="331" spans="1:16" ht="20.25" customHeight="1" x14ac:dyDescent="0.15">
      <c r="B331" s="16" t="s">
        <v>847</v>
      </c>
      <c r="C331" s="23" t="s">
        <v>848</v>
      </c>
      <c r="D331" s="16" t="s">
        <v>840</v>
      </c>
      <c r="E331" s="24">
        <v>8</v>
      </c>
      <c r="F331" s="24">
        <v>16.8</v>
      </c>
      <c r="G331" s="36"/>
      <c r="H331" s="25">
        <f t="shared" si="21"/>
        <v>8.8000000000000007</v>
      </c>
      <c r="I331" s="26">
        <f t="shared" ref="I331:I332" si="24">E331+H331</f>
        <v>16.8</v>
      </c>
      <c r="J331" s="26">
        <f t="shared" si="23"/>
        <v>0</v>
      </c>
    </row>
    <row r="332" spans="1:16" ht="20.25" customHeight="1" x14ac:dyDescent="0.15">
      <c r="B332" s="16" t="s">
        <v>849</v>
      </c>
      <c r="C332" s="23" t="s">
        <v>850</v>
      </c>
      <c r="D332" s="16" t="s">
        <v>840</v>
      </c>
      <c r="E332" s="24">
        <v>8</v>
      </c>
      <c r="F332" s="24">
        <v>16.8</v>
      </c>
      <c r="G332" s="36"/>
      <c r="H332" s="25">
        <f t="shared" si="21"/>
        <v>8.8000000000000007</v>
      </c>
      <c r="I332" s="26">
        <f t="shared" si="24"/>
        <v>16.8</v>
      </c>
      <c r="J332" s="26">
        <f t="shared" si="23"/>
        <v>0</v>
      </c>
    </row>
    <row r="333" spans="1:16" ht="20.25" customHeight="1" x14ac:dyDescent="0.15">
      <c r="B333" s="16" t="s">
        <v>698</v>
      </c>
      <c r="C333" s="46" t="s">
        <v>52</v>
      </c>
      <c r="D333" s="34" t="s">
        <v>92</v>
      </c>
      <c r="E333" s="24">
        <v>2</v>
      </c>
      <c r="F333" s="24">
        <v>4.2</v>
      </c>
      <c r="G333" s="36"/>
      <c r="H333" s="25">
        <f t="shared" si="21"/>
        <v>2.2000000000000002</v>
      </c>
      <c r="I333" s="26">
        <f t="shared" si="22"/>
        <v>4.2</v>
      </c>
      <c r="J333" s="26">
        <f t="shared" si="23"/>
        <v>0</v>
      </c>
    </row>
    <row r="334" spans="1:16" ht="20.25" customHeight="1" x14ac:dyDescent="0.15">
      <c r="B334" s="16" t="s">
        <v>516</v>
      </c>
      <c r="C334" s="46" t="s">
        <v>225</v>
      </c>
      <c r="D334" s="34" t="s">
        <v>92</v>
      </c>
      <c r="E334" s="24">
        <v>5</v>
      </c>
      <c r="F334" s="24">
        <v>10.5</v>
      </c>
      <c r="G334" s="36"/>
      <c r="H334" s="25">
        <f t="shared" si="21"/>
        <v>5.5</v>
      </c>
      <c r="I334" s="26">
        <f t="shared" si="22"/>
        <v>10.5</v>
      </c>
      <c r="J334" s="26">
        <f t="shared" si="23"/>
        <v>0</v>
      </c>
    </row>
    <row r="335" spans="1:16" ht="20.25" customHeight="1" x14ac:dyDescent="0.15">
      <c r="B335" s="16" t="s">
        <v>60</v>
      </c>
      <c r="C335" s="46" t="s">
        <v>346</v>
      </c>
      <c r="D335" s="34" t="s">
        <v>92</v>
      </c>
      <c r="E335" s="24">
        <v>5</v>
      </c>
      <c r="F335" s="24">
        <v>10.5</v>
      </c>
      <c r="G335" s="36"/>
      <c r="H335" s="25">
        <f t="shared" si="21"/>
        <v>5.5</v>
      </c>
      <c r="I335" s="26">
        <f t="shared" si="22"/>
        <v>10.5</v>
      </c>
      <c r="J335" s="26">
        <f t="shared" si="23"/>
        <v>0</v>
      </c>
    </row>
    <row r="336" spans="1:16" s="29" customFormat="1" ht="20.25" customHeight="1" x14ac:dyDescent="0.15">
      <c r="A336" s="22"/>
      <c r="B336" s="16" t="s">
        <v>647</v>
      </c>
      <c r="C336" s="46" t="s">
        <v>697</v>
      </c>
      <c r="D336" s="34" t="s">
        <v>92</v>
      </c>
      <c r="E336" s="24">
        <v>5</v>
      </c>
      <c r="F336" s="24">
        <v>10.5</v>
      </c>
      <c r="G336" s="36"/>
      <c r="H336" s="25">
        <f t="shared" si="21"/>
        <v>5.5</v>
      </c>
      <c r="I336" s="26">
        <f t="shared" si="22"/>
        <v>10.5</v>
      </c>
      <c r="J336" s="26">
        <f t="shared" si="23"/>
        <v>0</v>
      </c>
      <c r="K336" s="22"/>
      <c r="L336" s="22"/>
      <c r="M336" s="22"/>
      <c r="N336" s="22"/>
      <c r="O336" s="22"/>
      <c r="P336" s="22"/>
    </row>
    <row r="337" spans="1:16" s="29" customFormat="1" ht="20.25" customHeight="1" x14ac:dyDescent="0.15">
      <c r="A337" s="22"/>
      <c r="B337" s="16" t="s">
        <v>642</v>
      </c>
      <c r="C337" s="46" t="s">
        <v>475</v>
      </c>
      <c r="D337" s="34" t="s">
        <v>92</v>
      </c>
      <c r="E337" s="24">
        <v>2</v>
      </c>
      <c r="F337" s="24">
        <v>4.2</v>
      </c>
      <c r="G337" s="36"/>
      <c r="H337" s="25">
        <f t="shared" si="21"/>
        <v>2.2000000000000002</v>
      </c>
      <c r="I337" s="26">
        <f t="shared" si="22"/>
        <v>4.2</v>
      </c>
      <c r="J337" s="26">
        <f t="shared" si="23"/>
        <v>0</v>
      </c>
      <c r="K337" s="22"/>
      <c r="L337" s="22"/>
      <c r="M337" s="22"/>
      <c r="N337" s="22"/>
      <c r="O337" s="22"/>
      <c r="P337" s="22"/>
    </row>
    <row r="338" spans="1:16" ht="20.25" customHeight="1" x14ac:dyDescent="0.15">
      <c r="B338" s="16" t="s">
        <v>609</v>
      </c>
      <c r="C338" s="46" t="s">
        <v>69</v>
      </c>
      <c r="D338" s="34" t="s">
        <v>92</v>
      </c>
      <c r="E338" s="24">
        <v>2</v>
      </c>
      <c r="F338" s="24">
        <v>4.2</v>
      </c>
      <c r="G338" s="36"/>
      <c r="H338" s="25">
        <f t="shared" si="21"/>
        <v>2.2000000000000002</v>
      </c>
      <c r="I338" s="26">
        <f t="shared" si="22"/>
        <v>4.2</v>
      </c>
      <c r="J338" s="26">
        <f t="shared" si="23"/>
        <v>0</v>
      </c>
    </row>
    <row r="339" spans="1:16" ht="20.25" customHeight="1" x14ac:dyDescent="0.15">
      <c r="B339" s="16" t="s">
        <v>644</v>
      </c>
      <c r="C339" s="46" t="s">
        <v>157</v>
      </c>
      <c r="D339" s="34" t="s">
        <v>92</v>
      </c>
      <c r="E339" s="24">
        <v>2</v>
      </c>
      <c r="F339" s="24">
        <v>4.2</v>
      </c>
      <c r="G339" s="36"/>
      <c r="H339" s="25">
        <f t="shared" si="21"/>
        <v>2.2000000000000002</v>
      </c>
      <c r="I339" s="26">
        <f t="shared" si="22"/>
        <v>4.2</v>
      </c>
      <c r="J339" s="26">
        <f t="shared" si="23"/>
        <v>0</v>
      </c>
    </row>
    <row r="340" spans="1:16" ht="20.25" customHeight="1" x14ac:dyDescent="0.15">
      <c r="B340" s="16" t="s">
        <v>98</v>
      </c>
      <c r="C340" s="46" t="s">
        <v>412</v>
      </c>
      <c r="D340" s="34" t="s">
        <v>92</v>
      </c>
      <c r="E340" s="24">
        <v>2</v>
      </c>
      <c r="F340" s="24">
        <v>4.2</v>
      </c>
      <c r="G340" s="36"/>
      <c r="H340" s="25">
        <f t="shared" si="21"/>
        <v>2.2000000000000002</v>
      </c>
      <c r="I340" s="26">
        <f t="shared" si="22"/>
        <v>4.2</v>
      </c>
      <c r="J340" s="26">
        <f t="shared" si="23"/>
        <v>0</v>
      </c>
    </row>
    <row r="341" spans="1:16" ht="20.25" customHeight="1" x14ac:dyDescent="0.15">
      <c r="B341" s="16" t="s">
        <v>133</v>
      </c>
      <c r="C341" s="46" t="s">
        <v>584</v>
      </c>
      <c r="D341" s="34" t="s">
        <v>92</v>
      </c>
      <c r="E341" s="24">
        <v>4.76</v>
      </c>
      <c r="F341" s="24">
        <v>9.9960000000000004</v>
      </c>
      <c r="G341" s="36"/>
      <c r="H341" s="25">
        <f t="shared" si="21"/>
        <v>5.2360000000000007</v>
      </c>
      <c r="I341" s="26">
        <f t="shared" si="22"/>
        <v>9.9960000000000004</v>
      </c>
      <c r="J341" s="26">
        <f t="shared" si="23"/>
        <v>0</v>
      </c>
    </row>
    <row r="342" spans="1:16" ht="20.25" customHeight="1" x14ac:dyDescent="0.15">
      <c r="B342" s="16" t="s">
        <v>128</v>
      </c>
      <c r="C342" s="46" t="s">
        <v>415</v>
      </c>
      <c r="D342" s="34" t="s">
        <v>92</v>
      </c>
      <c r="E342" s="24">
        <v>4.76</v>
      </c>
      <c r="F342" s="24">
        <v>9.9960000000000004</v>
      </c>
      <c r="G342" s="36"/>
      <c r="H342" s="25">
        <f t="shared" si="21"/>
        <v>5.2360000000000007</v>
      </c>
      <c r="I342" s="26">
        <f t="shared" si="22"/>
        <v>9.9960000000000004</v>
      </c>
      <c r="J342" s="26">
        <f t="shared" si="23"/>
        <v>0</v>
      </c>
    </row>
    <row r="343" spans="1:16" ht="20.25" customHeight="1" x14ac:dyDescent="0.15">
      <c r="B343" s="16" t="s">
        <v>500</v>
      </c>
      <c r="C343" s="46" t="s">
        <v>765</v>
      </c>
      <c r="D343" s="34" t="s">
        <v>92</v>
      </c>
      <c r="E343" s="24">
        <v>2</v>
      </c>
      <c r="F343" s="24">
        <v>4.2</v>
      </c>
      <c r="G343" s="36"/>
      <c r="H343" s="25">
        <f t="shared" si="21"/>
        <v>2.2000000000000002</v>
      </c>
      <c r="I343" s="26">
        <f t="shared" si="22"/>
        <v>4.2</v>
      </c>
      <c r="J343" s="26">
        <f t="shared" si="23"/>
        <v>0</v>
      </c>
    </row>
    <row r="344" spans="1:16" ht="20.25" customHeight="1" x14ac:dyDescent="0.15">
      <c r="B344" s="16" t="s">
        <v>627</v>
      </c>
      <c r="C344" s="23" t="s">
        <v>537</v>
      </c>
      <c r="D344" s="11" t="s">
        <v>177</v>
      </c>
      <c r="E344" s="24">
        <v>2.5</v>
      </c>
      <c r="F344" s="24">
        <v>5.25</v>
      </c>
      <c r="G344" s="36"/>
      <c r="H344" s="25">
        <f t="shared" si="21"/>
        <v>2.75</v>
      </c>
      <c r="I344" s="26">
        <f t="shared" si="22"/>
        <v>5.25</v>
      </c>
      <c r="J344" s="26">
        <f t="shared" si="23"/>
        <v>0</v>
      </c>
    </row>
    <row r="345" spans="1:16" ht="20.25" customHeight="1" x14ac:dyDescent="0.15">
      <c r="B345" s="16" t="s">
        <v>510</v>
      </c>
      <c r="C345" s="23" t="s">
        <v>258</v>
      </c>
      <c r="D345" s="11" t="s">
        <v>177</v>
      </c>
      <c r="E345" s="24">
        <v>2.5</v>
      </c>
      <c r="F345" s="24">
        <v>5.25</v>
      </c>
      <c r="G345" s="36"/>
      <c r="H345" s="25">
        <f t="shared" si="21"/>
        <v>2.75</v>
      </c>
      <c r="I345" s="26">
        <f t="shared" si="22"/>
        <v>5.25</v>
      </c>
      <c r="J345" s="26">
        <f t="shared" si="23"/>
        <v>0</v>
      </c>
    </row>
    <row r="346" spans="1:16" ht="20.25" customHeight="1" x14ac:dyDescent="0.15">
      <c r="B346" s="16" t="s">
        <v>408</v>
      </c>
      <c r="C346" s="23" t="s">
        <v>264</v>
      </c>
      <c r="D346" s="11" t="s">
        <v>177</v>
      </c>
      <c r="E346" s="24">
        <v>2.5</v>
      </c>
      <c r="F346" s="24">
        <v>5.25</v>
      </c>
      <c r="G346" s="36"/>
      <c r="H346" s="25">
        <f t="shared" si="21"/>
        <v>2.75</v>
      </c>
      <c r="I346" s="26">
        <f t="shared" si="22"/>
        <v>5.25</v>
      </c>
      <c r="J346" s="26">
        <f t="shared" si="23"/>
        <v>0</v>
      </c>
    </row>
    <row r="347" spans="1:16" ht="20.25" customHeight="1" x14ac:dyDescent="0.15">
      <c r="B347" s="16" t="s">
        <v>441</v>
      </c>
      <c r="C347" s="23" t="s">
        <v>440</v>
      </c>
      <c r="D347" s="11" t="s">
        <v>177</v>
      </c>
      <c r="E347" s="24">
        <v>2.5</v>
      </c>
      <c r="F347" s="24">
        <v>5.25</v>
      </c>
      <c r="G347" s="36"/>
      <c r="H347" s="25">
        <f t="shared" si="21"/>
        <v>2.75</v>
      </c>
      <c r="I347" s="26">
        <f t="shared" si="22"/>
        <v>5.25</v>
      </c>
      <c r="J347" s="26">
        <f t="shared" si="23"/>
        <v>0</v>
      </c>
    </row>
    <row r="348" spans="1:16" ht="20.25" customHeight="1" x14ac:dyDescent="0.15">
      <c r="B348" s="16" t="s">
        <v>70</v>
      </c>
      <c r="C348" s="23" t="s">
        <v>633</v>
      </c>
      <c r="D348" s="11" t="s">
        <v>177</v>
      </c>
      <c r="E348" s="24">
        <v>2.5</v>
      </c>
      <c r="F348" s="24">
        <v>5.25</v>
      </c>
      <c r="G348" s="36"/>
      <c r="H348" s="25">
        <f t="shared" si="21"/>
        <v>2.75</v>
      </c>
      <c r="I348" s="26">
        <f t="shared" si="22"/>
        <v>5.25</v>
      </c>
      <c r="J348" s="26">
        <f t="shared" si="23"/>
        <v>0</v>
      </c>
    </row>
    <row r="349" spans="1:16" ht="6" customHeight="1" x14ac:dyDescent="0.15">
      <c r="B349" s="16" t="s">
        <v>488</v>
      </c>
      <c r="C349" s="23" t="s">
        <v>594</v>
      </c>
      <c r="D349" s="11" t="s">
        <v>177</v>
      </c>
      <c r="E349" s="24">
        <v>2.5</v>
      </c>
      <c r="F349" s="24">
        <v>5.25</v>
      </c>
      <c r="G349" s="36"/>
      <c r="H349" s="25">
        <f t="shared" si="21"/>
        <v>2.75</v>
      </c>
      <c r="I349" s="26">
        <f t="shared" si="22"/>
        <v>5.25</v>
      </c>
      <c r="J349" s="26">
        <f t="shared" si="23"/>
        <v>0</v>
      </c>
    </row>
    <row r="350" spans="1:16" ht="28" x14ac:dyDescent="0.15">
      <c r="B350" s="16" t="s">
        <v>479</v>
      </c>
      <c r="C350" s="23" t="s">
        <v>534</v>
      </c>
      <c r="D350" s="11" t="s">
        <v>177</v>
      </c>
      <c r="E350" s="24">
        <v>2.5</v>
      </c>
      <c r="F350" s="24">
        <v>5.25</v>
      </c>
      <c r="G350" s="36"/>
      <c r="H350" s="25">
        <f t="shared" si="21"/>
        <v>2.75</v>
      </c>
      <c r="I350" s="26">
        <f t="shared" si="22"/>
        <v>5.25</v>
      </c>
      <c r="J350" s="26">
        <f t="shared" si="23"/>
        <v>0</v>
      </c>
    </row>
    <row r="351" spans="1:16" ht="18" customHeight="1" x14ac:dyDescent="0.15">
      <c r="B351" s="11" t="s">
        <v>369</v>
      </c>
      <c r="C351" s="12" t="s">
        <v>635</v>
      </c>
      <c r="D351" s="16" t="s">
        <v>703</v>
      </c>
      <c r="E351" s="28">
        <v>3</v>
      </c>
      <c r="F351" s="24">
        <v>6.3</v>
      </c>
      <c r="G351" s="36"/>
      <c r="H351" s="25">
        <f t="shared" si="21"/>
        <v>3.3</v>
      </c>
      <c r="I351" s="26">
        <f t="shared" si="22"/>
        <v>6.3</v>
      </c>
      <c r="J351" s="26">
        <f t="shared" si="23"/>
        <v>0</v>
      </c>
    </row>
    <row r="352" spans="1:16" ht="20.25" customHeight="1" x14ac:dyDescent="0.15">
      <c r="B352" s="11" t="s">
        <v>800</v>
      </c>
      <c r="C352" s="12" t="s">
        <v>802</v>
      </c>
      <c r="D352" s="16" t="s">
        <v>703</v>
      </c>
      <c r="E352" s="28">
        <v>7</v>
      </c>
      <c r="F352" s="24">
        <v>14.7</v>
      </c>
      <c r="G352" s="36"/>
      <c r="H352" s="25">
        <f t="shared" si="21"/>
        <v>7.7</v>
      </c>
      <c r="I352" s="26">
        <f t="shared" si="22"/>
        <v>14.7</v>
      </c>
      <c r="J352" s="26">
        <f t="shared" si="23"/>
        <v>0</v>
      </c>
    </row>
    <row r="353" spans="2:10" ht="18" customHeight="1" x14ac:dyDescent="0.15">
      <c r="B353" s="11" t="s">
        <v>801</v>
      </c>
      <c r="C353" s="12" t="s">
        <v>803</v>
      </c>
      <c r="D353" s="16" t="s">
        <v>136</v>
      </c>
      <c r="E353" s="24">
        <v>4</v>
      </c>
      <c r="F353" s="24">
        <v>8.4</v>
      </c>
      <c r="G353" s="36"/>
      <c r="H353" s="25">
        <f t="shared" si="21"/>
        <v>4.4000000000000004</v>
      </c>
      <c r="I353" s="26">
        <f t="shared" si="22"/>
        <v>8.4</v>
      </c>
      <c r="J353" s="26">
        <f t="shared" si="23"/>
        <v>0</v>
      </c>
    </row>
    <row r="354" spans="2:10" ht="18" customHeight="1" x14ac:dyDescent="0.15">
      <c r="B354" s="11" t="s">
        <v>113</v>
      </c>
      <c r="C354" s="46" t="s">
        <v>352</v>
      </c>
      <c r="D354" s="16" t="s">
        <v>320</v>
      </c>
      <c r="E354" s="24">
        <v>3</v>
      </c>
      <c r="F354" s="24">
        <v>6.3</v>
      </c>
      <c r="G354" s="36"/>
      <c r="H354" s="25">
        <f t="shared" si="21"/>
        <v>3.3</v>
      </c>
      <c r="I354" s="26">
        <f t="shared" si="22"/>
        <v>6.3</v>
      </c>
      <c r="J354" s="26">
        <f t="shared" si="23"/>
        <v>0</v>
      </c>
    </row>
    <row r="355" spans="2:10" ht="18" customHeight="1" x14ac:dyDescent="0.15">
      <c r="B355" s="11" t="s">
        <v>430</v>
      </c>
      <c r="C355" s="12" t="s">
        <v>310</v>
      </c>
      <c r="D355" s="16" t="s">
        <v>320</v>
      </c>
      <c r="E355" s="24">
        <v>4.5</v>
      </c>
      <c r="F355" s="24">
        <v>9.4499999999999993</v>
      </c>
      <c r="G355" s="36"/>
      <c r="H355" s="25">
        <f t="shared" si="21"/>
        <v>4.95</v>
      </c>
      <c r="I355" s="26">
        <f t="shared" si="22"/>
        <v>9.4499999999999993</v>
      </c>
      <c r="J355" s="26">
        <f t="shared" si="23"/>
        <v>0</v>
      </c>
    </row>
    <row r="356" spans="2:10" ht="18" customHeight="1" x14ac:dyDescent="0.15">
      <c r="B356" s="11" t="s">
        <v>351</v>
      </c>
      <c r="C356" s="12" t="s">
        <v>398</v>
      </c>
      <c r="D356" s="16" t="s">
        <v>320</v>
      </c>
      <c r="E356" s="24">
        <v>3</v>
      </c>
      <c r="F356" s="24">
        <v>6.3</v>
      </c>
      <c r="G356" s="36"/>
      <c r="H356" s="25">
        <f t="shared" si="21"/>
        <v>3.3</v>
      </c>
      <c r="I356" s="26">
        <f t="shared" si="22"/>
        <v>6.3</v>
      </c>
      <c r="J356" s="26">
        <f t="shared" si="23"/>
        <v>0</v>
      </c>
    </row>
    <row r="357" spans="2:10" ht="20.25" customHeight="1" x14ac:dyDescent="0.15">
      <c r="B357" s="16" t="s">
        <v>254</v>
      </c>
      <c r="C357" s="12" t="s">
        <v>595</v>
      </c>
      <c r="D357" s="16" t="s">
        <v>320</v>
      </c>
      <c r="E357" s="24">
        <v>6.5</v>
      </c>
      <c r="F357" s="24">
        <v>13.65</v>
      </c>
      <c r="G357" s="36"/>
      <c r="H357" s="25">
        <f t="shared" si="21"/>
        <v>7.15</v>
      </c>
      <c r="I357" s="26">
        <f t="shared" si="22"/>
        <v>13.65</v>
      </c>
      <c r="J357" s="26">
        <f t="shared" si="23"/>
        <v>0</v>
      </c>
    </row>
    <row r="358" spans="2:10" ht="20.25" customHeight="1" x14ac:dyDescent="0.15">
      <c r="B358" s="16" t="s">
        <v>579</v>
      </c>
      <c r="C358" s="12" t="s">
        <v>592</v>
      </c>
      <c r="D358" s="16" t="s">
        <v>320</v>
      </c>
      <c r="E358" s="24">
        <v>2.5</v>
      </c>
      <c r="F358" s="24">
        <v>5.25</v>
      </c>
      <c r="G358" s="36"/>
      <c r="H358" s="25">
        <f t="shared" si="21"/>
        <v>2.75</v>
      </c>
      <c r="I358" s="26">
        <f t="shared" si="22"/>
        <v>5.25</v>
      </c>
      <c r="J358" s="26">
        <f t="shared" si="23"/>
        <v>0</v>
      </c>
    </row>
    <row r="359" spans="2:10" ht="20.25" customHeight="1" x14ac:dyDescent="0.15">
      <c r="B359" s="16" t="s">
        <v>433</v>
      </c>
      <c r="C359" s="12" t="s">
        <v>748</v>
      </c>
      <c r="D359" s="16" t="s">
        <v>320</v>
      </c>
      <c r="E359" s="24">
        <v>3</v>
      </c>
      <c r="F359" s="24">
        <v>6.3</v>
      </c>
      <c r="G359" s="36"/>
      <c r="H359" s="25">
        <f t="shared" si="21"/>
        <v>3.3</v>
      </c>
      <c r="I359" s="26">
        <f t="shared" si="22"/>
        <v>6.3</v>
      </c>
      <c r="J359" s="26">
        <f t="shared" si="23"/>
        <v>0</v>
      </c>
    </row>
    <row r="360" spans="2:10" ht="20.25" customHeight="1" x14ac:dyDescent="0.15">
      <c r="B360" s="11" t="s">
        <v>359</v>
      </c>
      <c r="C360" s="46" t="s">
        <v>558</v>
      </c>
      <c r="D360" s="16" t="s">
        <v>759</v>
      </c>
      <c r="E360" s="24">
        <v>20</v>
      </c>
      <c r="F360" s="24">
        <v>42</v>
      </c>
      <c r="G360" s="36"/>
      <c r="H360" s="25">
        <f t="shared" si="21"/>
        <v>22</v>
      </c>
      <c r="I360" s="26">
        <f t="shared" si="22"/>
        <v>42</v>
      </c>
      <c r="J360" s="26">
        <f t="shared" si="23"/>
        <v>0</v>
      </c>
    </row>
    <row r="361" spans="2:10" ht="20.25" customHeight="1" x14ac:dyDescent="0.15">
      <c r="B361" s="16" t="s">
        <v>622</v>
      </c>
      <c r="C361" s="12" t="s">
        <v>265</v>
      </c>
      <c r="D361" s="16" t="s">
        <v>759</v>
      </c>
      <c r="E361" s="24">
        <v>17</v>
      </c>
      <c r="F361" s="24">
        <v>35.700000000000003</v>
      </c>
      <c r="G361" s="36"/>
      <c r="H361" s="25">
        <f t="shared" ref="H361:H387" si="25">E361*110/100</f>
        <v>18.7</v>
      </c>
      <c r="I361" s="26">
        <f t="shared" si="22"/>
        <v>35.700000000000003</v>
      </c>
      <c r="J361" s="26">
        <f t="shared" si="23"/>
        <v>0</v>
      </c>
    </row>
    <row r="362" spans="2:10" ht="20.25" customHeight="1" x14ac:dyDescent="0.15">
      <c r="B362" s="11" t="s">
        <v>281</v>
      </c>
      <c r="C362" s="12" t="s">
        <v>681</v>
      </c>
      <c r="D362" s="16" t="s">
        <v>759</v>
      </c>
      <c r="E362" s="24">
        <v>13</v>
      </c>
      <c r="F362" s="24">
        <v>27.3</v>
      </c>
      <c r="G362" s="36"/>
      <c r="H362" s="25">
        <f t="shared" si="25"/>
        <v>14.3</v>
      </c>
      <c r="I362" s="26">
        <f t="shared" si="22"/>
        <v>27.3</v>
      </c>
      <c r="J362" s="26">
        <f t="shared" si="23"/>
        <v>0</v>
      </c>
    </row>
    <row r="363" spans="2:10" ht="20.25" customHeight="1" x14ac:dyDescent="0.15">
      <c r="B363" s="16" t="s">
        <v>232</v>
      </c>
      <c r="C363" s="12" t="s">
        <v>291</v>
      </c>
      <c r="D363" s="16" t="s">
        <v>759</v>
      </c>
      <c r="E363" s="24">
        <v>11</v>
      </c>
      <c r="F363" s="24">
        <v>23.1</v>
      </c>
      <c r="G363" s="36"/>
      <c r="H363" s="25">
        <f t="shared" si="25"/>
        <v>12.1</v>
      </c>
      <c r="I363" s="26">
        <f t="shared" si="22"/>
        <v>23.1</v>
      </c>
      <c r="J363" s="26">
        <f t="shared" si="23"/>
        <v>0</v>
      </c>
    </row>
    <row r="364" spans="2:10" ht="20.25" customHeight="1" x14ac:dyDescent="0.15">
      <c r="B364" s="16" t="s">
        <v>484</v>
      </c>
      <c r="C364" s="46" t="s">
        <v>292</v>
      </c>
      <c r="D364" s="16" t="s">
        <v>759</v>
      </c>
      <c r="E364" s="24">
        <v>18</v>
      </c>
      <c r="F364" s="24">
        <v>37.799999999999997</v>
      </c>
      <c r="G364" s="36"/>
      <c r="H364" s="25">
        <f t="shared" si="25"/>
        <v>19.8</v>
      </c>
      <c r="I364" s="26">
        <f t="shared" si="22"/>
        <v>37.799999999999997</v>
      </c>
      <c r="J364" s="26">
        <f t="shared" si="23"/>
        <v>0</v>
      </c>
    </row>
    <row r="365" spans="2:10" ht="20.25" customHeight="1" x14ac:dyDescent="0.15">
      <c r="B365" s="11" t="s">
        <v>817</v>
      </c>
      <c r="C365" s="46" t="s">
        <v>818</v>
      </c>
      <c r="D365" s="16" t="s">
        <v>759</v>
      </c>
      <c r="E365" s="24">
        <v>16</v>
      </c>
      <c r="F365" s="24">
        <v>33.6</v>
      </c>
      <c r="G365" s="36"/>
      <c r="H365" s="25">
        <f t="shared" si="25"/>
        <v>17.600000000000001</v>
      </c>
      <c r="I365" s="26">
        <f t="shared" si="22"/>
        <v>33.6</v>
      </c>
      <c r="J365" s="26">
        <f t="shared" si="23"/>
        <v>0</v>
      </c>
    </row>
    <row r="366" spans="2:10" ht="20.25" customHeight="1" x14ac:dyDescent="0.15">
      <c r="B366" s="16" t="s">
        <v>7</v>
      </c>
      <c r="C366" s="12" t="s">
        <v>36</v>
      </c>
      <c r="D366" s="16" t="s">
        <v>759</v>
      </c>
      <c r="E366" s="24">
        <v>21</v>
      </c>
      <c r="F366" s="24">
        <v>44.1</v>
      </c>
      <c r="G366" s="36"/>
      <c r="H366" s="25">
        <f t="shared" si="25"/>
        <v>23.1</v>
      </c>
      <c r="I366" s="26">
        <f t="shared" si="22"/>
        <v>44.1</v>
      </c>
      <c r="J366" s="26">
        <f t="shared" si="23"/>
        <v>0</v>
      </c>
    </row>
    <row r="367" spans="2:10" ht="20.25" customHeight="1" x14ac:dyDescent="0.15">
      <c r="B367" s="16" t="s">
        <v>726</v>
      </c>
      <c r="C367" s="12" t="s">
        <v>459</v>
      </c>
      <c r="D367" s="16" t="s">
        <v>759</v>
      </c>
      <c r="E367" s="24">
        <v>18</v>
      </c>
      <c r="F367" s="24">
        <v>37.799999999999997</v>
      </c>
      <c r="G367" s="36"/>
      <c r="H367" s="25">
        <f t="shared" si="25"/>
        <v>19.8</v>
      </c>
      <c r="I367" s="26">
        <f t="shared" si="22"/>
        <v>37.799999999999997</v>
      </c>
      <c r="J367" s="26">
        <f t="shared" si="23"/>
        <v>0</v>
      </c>
    </row>
    <row r="368" spans="2:10" ht="18.75" customHeight="1" x14ac:dyDescent="0.15">
      <c r="B368" s="11" t="s">
        <v>585</v>
      </c>
      <c r="C368" s="12" t="s">
        <v>693</v>
      </c>
      <c r="D368" s="16" t="s">
        <v>759</v>
      </c>
      <c r="E368" s="24">
        <v>25</v>
      </c>
      <c r="F368" s="24">
        <v>52.5</v>
      </c>
      <c r="G368" s="36"/>
      <c r="H368" s="25">
        <f t="shared" si="25"/>
        <v>27.5</v>
      </c>
      <c r="I368" s="26">
        <f t="shared" si="22"/>
        <v>52.5</v>
      </c>
      <c r="J368" s="26">
        <f t="shared" si="23"/>
        <v>0</v>
      </c>
    </row>
    <row r="369" spans="2:10" ht="18.75" customHeight="1" x14ac:dyDescent="0.15">
      <c r="B369" s="16" t="s">
        <v>530</v>
      </c>
      <c r="C369" s="46" t="s">
        <v>1</v>
      </c>
      <c r="D369" s="16" t="s">
        <v>759</v>
      </c>
      <c r="E369" s="24">
        <v>28</v>
      </c>
      <c r="F369" s="24">
        <v>58.8</v>
      </c>
      <c r="G369" s="36"/>
      <c r="H369" s="25">
        <f t="shared" si="25"/>
        <v>30.8</v>
      </c>
      <c r="I369" s="26">
        <f t="shared" ref="I369:I370" si="26">E369+H369</f>
        <v>58.8</v>
      </c>
      <c r="J369" s="26">
        <f t="shared" ref="J369:J370" si="27">F369-I369</f>
        <v>0</v>
      </c>
    </row>
    <row r="370" spans="2:10" ht="18.75" customHeight="1" x14ac:dyDescent="0.15">
      <c r="B370" s="16" t="s">
        <v>841</v>
      </c>
      <c r="C370" s="46" t="s">
        <v>843</v>
      </c>
      <c r="D370" s="11" t="s">
        <v>685</v>
      </c>
      <c r="E370" s="24">
        <v>7.5</v>
      </c>
      <c r="F370" s="24">
        <v>15.75</v>
      </c>
      <c r="G370" s="36"/>
      <c r="H370" s="25">
        <f t="shared" si="25"/>
        <v>8.25</v>
      </c>
      <c r="I370" s="26">
        <f t="shared" si="26"/>
        <v>15.75</v>
      </c>
      <c r="J370" s="26">
        <f t="shared" si="27"/>
        <v>0</v>
      </c>
    </row>
    <row r="371" spans="2:10" ht="18.75" customHeight="1" x14ac:dyDescent="0.15">
      <c r="B371" s="16" t="s">
        <v>842</v>
      </c>
      <c r="C371" s="12" t="s">
        <v>844</v>
      </c>
      <c r="D371" s="11" t="s">
        <v>685</v>
      </c>
      <c r="E371" s="24">
        <v>7.5</v>
      </c>
      <c r="F371" s="24">
        <v>15.75</v>
      </c>
      <c r="G371" s="36"/>
      <c r="H371" s="25">
        <f t="shared" si="25"/>
        <v>8.25</v>
      </c>
      <c r="I371" s="26">
        <f t="shared" ref="I371:I387" si="28">E371+H371</f>
        <v>15.75</v>
      </c>
      <c r="J371" s="26">
        <f t="shared" ref="J371:J387" si="29">F371-I371</f>
        <v>0</v>
      </c>
    </row>
    <row r="372" spans="2:10" ht="18.75" customHeight="1" x14ac:dyDescent="0.15">
      <c r="B372" s="16" t="s">
        <v>700</v>
      </c>
      <c r="C372" s="23" t="s">
        <v>603</v>
      </c>
      <c r="D372" s="16" t="s">
        <v>703</v>
      </c>
      <c r="E372" s="24">
        <v>16</v>
      </c>
      <c r="F372" s="24">
        <v>33.6</v>
      </c>
      <c r="G372" s="36"/>
      <c r="H372" s="25">
        <f t="shared" si="25"/>
        <v>17.600000000000001</v>
      </c>
      <c r="I372" s="26">
        <f t="shared" si="28"/>
        <v>33.6</v>
      </c>
      <c r="J372" s="26">
        <f t="shared" si="29"/>
        <v>0</v>
      </c>
    </row>
    <row r="373" spans="2:10" ht="18.75" customHeight="1" x14ac:dyDescent="0.15">
      <c r="B373" s="16" t="s">
        <v>732</v>
      </c>
      <c r="C373" s="23" t="s">
        <v>286</v>
      </c>
      <c r="D373" s="16" t="s">
        <v>703</v>
      </c>
      <c r="E373" s="24">
        <v>30</v>
      </c>
      <c r="F373" s="24">
        <v>63</v>
      </c>
      <c r="G373" s="36"/>
      <c r="H373" s="25">
        <f t="shared" si="25"/>
        <v>33</v>
      </c>
      <c r="I373" s="26">
        <f t="shared" si="28"/>
        <v>63</v>
      </c>
      <c r="J373" s="26">
        <f t="shared" si="29"/>
        <v>0</v>
      </c>
    </row>
    <row r="374" spans="2:10" ht="18.75" customHeight="1" x14ac:dyDescent="0.15">
      <c r="B374" s="16" t="s">
        <v>21</v>
      </c>
      <c r="C374" s="23" t="s">
        <v>57</v>
      </c>
      <c r="D374" s="16" t="s">
        <v>478</v>
      </c>
      <c r="E374" s="24">
        <v>5</v>
      </c>
      <c r="F374" s="24">
        <v>10.5</v>
      </c>
      <c r="G374" s="36"/>
      <c r="H374" s="25">
        <f t="shared" si="25"/>
        <v>5.5</v>
      </c>
      <c r="I374" s="26">
        <f t="shared" si="28"/>
        <v>10.5</v>
      </c>
      <c r="J374" s="26">
        <f t="shared" si="29"/>
        <v>0</v>
      </c>
    </row>
    <row r="375" spans="2:10" ht="6" customHeight="1" x14ac:dyDescent="0.15">
      <c r="B375" s="16" t="s">
        <v>826</v>
      </c>
      <c r="C375" s="23" t="s">
        <v>827</v>
      </c>
      <c r="D375" s="16" t="s">
        <v>828</v>
      </c>
      <c r="E375" s="24">
        <v>5.5</v>
      </c>
      <c r="F375" s="24">
        <v>11.55</v>
      </c>
      <c r="G375" s="36"/>
      <c r="H375" s="25">
        <f t="shared" si="25"/>
        <v>6.05</v>
      </c>
      <c r="I375" s="26">
        <f t="shared" si="28"/>
        <v>11.55</v>
      </c>
      <c r="J375" s="26">
        <f t="shared" si="29"/>
        <v>0</v>
      </c>
    </row>
    <row r="376" spans="2:10" ht="20.25" customHeight="1" x14ac:dyDescent="0.15">
      <c r="B376" s="16" t="s">
        <v>829</v>
      </c>
      <c r="C376" s="23" t="s">
        <v>830</v>
      </c>
      <c r="D376" s="16" t="s">
        <v>828</v>
      </c>
      <c r="E376" s="24">
        <v>5.5</v>
      </c>
      <c r="F376" s="24">
        <v>11.55</v>
      </c>
      <c r="G376" s="36"/>
      <c r="H376" s="25">
        <f t="shared" si="25"/>
        <v>6.05</v>
      </c>
      <c r="I376" s="26">
        <f t="shared" si="28"/>
        <v>11.55</v>
      </c>
      <c r="J376" s="26">
        <f t="shared" si="29"/>
        <v>0</v>
      </c>
    </row>
    <row r="377" spans="2:10" ht="20.25" customHeight="1" x14ac:dyDescent="0.15">
      <c r="B377" s="16" t="s">
        <v>717</v>
      </c>
      <c r="C377" s="23" t="s">
        <v>599</v>
      </c>
      <c r="D377" s="16" t="s">
        <v>53</v>
      </c>
      <c r="E377" s="24">
        <v>3</v>
      </c>
      <c r="F377" s="24">
        <v>6.3</v>
      </c>
      <c r="G377" s="36"/>
      <c r="H377" s="25">
        <f t="shared" si="25"/>
        <v>3.3</v>
      </c>
      <c r="I377" s="26">
        <f t="shared" si="28"/>
        <v>6.3</v>
      </c>
      <c r="J377" s="26">
        <f t="shared" si="29"/>
        <v>0</v>
      </c>
    </row>
    <row r="378" spans="2:10" ht="20.25" customHeight="1" x14ac:dyDescent="0.15">
      <c r="B378" s="16" t="s">
        <v>111</v>
      </c>
      <c r="C378" s="23" t="s">
        <v>566</v>
      </c>
      <c r="D378" s="16" t="s">
        <v>53</v>
      </c>
      <c r="E378" s="24">
        <v>3</v>
      </c>
      <c r="F378" s="24">
        <v>6.3</v>
      </c>
      <c r="G378" s="36"/>
      <c r="H378" s="25">
        <f t="shared" si="25"/>
        <v>3.3</v>
      </c>
      <c r="I378" s="26">
        <f t="shared" si="28"/>
        <v>6.3</v>
      </c>
      <c r="J378" s="26">
        <f t="shared" si="29"/>
        <v>0</v>
      </c>
    </row>
    <row r="379" spans="2:10" ht="20.25" customHeight="1" x14ac:dyDescent="0.15">
      <c r="B379" s="16" t="s">
        <v>102</v>
      </c>
      <c r="C379" s="23" t="s">
        <v>66</v>
      </c>
      <c r="D379" s="16" t="s">
        <v>53</v>
      </c>
      <c r="E379" s="24">
        <v>6.5</v>
      </c>
      <c r="F379" s="24">
        <v>13.65</v>
      </c>
      <c r="G379" s="36"/>
      <c r="H379" s="25">
        <f t="shared" si="25"/>
        <v>7.15</v>
      </c>
      <c r="I379" s="26">
        <f t="shared" si="28"/>
        <v>13.65</v>
      </c>
      <c r="J379" s="26">
        <f t="shared" si="29"/>
        <v>0</v>
      </c>
    </row>
    <row r="380" spans="2:10" ht="20.25" customHeight="1" x14ac:dyDescent="0.15">
      <c r="B380" s="16" t="s">
        <v>282</v>
      </c>
      <c r="C380" s="23" t="s">
        <v>257</v>
      </c>
      <c r="D380" s="16" t="s">
        <v>53</v>
      </c>
      <c r="E380" s="24">
        <v>9</v>
      </c>
      <c r="F380" s="24">
        <v>18.899999999999999</v>
      </c>
      <c r="G380" s="36"/>
      <c r="H380" s="25">
        <f t="shared" si="25"/>
        <v>9.9</v>
      </c>
      <c r="I380" s="26">
        <f t="shared" si="28"/>
        <v>18.899999999999999</v>
      </c>
      <c r="J380" s="26">
        <f t="shared" si="29"/>
        <v>0</v>
      </c>
    </row>
    <row r="381" spans="2:10" ht="20.25" customHeight="1" x14ac:dyDescent="0.15">
      <c r="B381" s="16" t="s">
        <v>363</v>
      </c>
      <c r="C381" s="23" t="s">
        <v>266</v>
      </c>
      <c r="D381" s="16" t="s">
        <v>629</v>
      </c>
      <c r="E381" s="24">
        <v>4</v>
      </c>
      <c r="F381" s="24">
        <v>8.4</v>
      </c>
      <c r="G381" s="36"/>
      <c r="H381" s="25">
        <f t="shared" si="25"/>
        <v>4.4000000000000004</v>
      </c>
      <c r="I381" s="26">
        <f t="shared" si="28"/>
        <v>8.4</v>
      </c>
      <c r="J381" s="26">
        <f t="shared" si="29"/>
        <v>0</v>
      </c>
    </row>
    <row r="382" spans="2:10" ht="20.25" customHeight="1" x14ac:dyDescent="0.15">
      <c r="B382" s="16" t="s">
        <v>278</v>
      </c>
      <c r="C382" s="23" t="s">
        <v>57</v>
      </c>
      <c r="D382" s="16" t="s">
        <v>596</v>
      </c>
      <c r="E382" s="24">
        <v>6</v>
      </c>
      <c r="F382" s="24">
        <v>12.6</v>
      </c>
      <c r="G382" s="36"/>
      <c r="H382" s="25">
        <f t="shared" si="25"/>
        <v>6.6</v>
      </c>
      <c r="I382" s="26">
        <f t="shared" si="28"/>
        <v>12.6</v>
      </c>
      <c r="J382" s="26">
        <f t="shared" si="29"/>
        <v>0</v>
      </c>
    </row>
    <row r="383" spans="2:10" ht="20.25" customHeight="1" x14ac:dyDescent="0.15">
      <c r="B383" s="16" t="s">
        <v>210</v>
      </c>
      <c r="C383" s="23" t="s">
        <v>273</v>
      </c>
      <c r="D383" s="16" t="s">
        <v>457</v>
      </c>
      <c r="E383" s="24">
        <v>2.5</v>
      </c>
      <c r="F383" s="24">
        <v>5.25</v>
      </c>
      <c r="G383" s="36"/>
      <c r="H383" s="25">
        <f t="shared" si="25"/>
        <v>2.75</v>
      </c>
      <c r="I383" s="26">
        <f t="shared" si="28"/>
        <v>5.25</v>
      </c>
      <c r="J383" s="26">
        <f t="shared" si="29"/>
        <v>0</v>
      </c>
    </row>
    <row r="384" spans="2:10" ht="20.25" customHeight="1" x14ac:dyDescent="0.15">
      <c r="B384" s="16" t="s">
        <v>667</v>
      </c>
      <c r="C384" s="23" t="s">
        <v>416</v>
      </c>
      <c r="D384" s="16" t="s">
        <v>457</v>
      </c>
      <c r="E384" s="24">
        <v>7</v>
      </c>
      <c r="F384" s="24">
        <v>14.7</v>
      </c>
      <c r="G384" s="36"/>
      <c r="H384" s="25">
        <f t="shared" si="25"/>
        <v>7.7</v>
      </c>
      <c r="I384" s="26">
        <f t="shared" si="28"/>
        <v>14.7</v>
      </c>
      <c r="J384" s="26">
        <f t="shared" si="29"/>
        <v>0</v>
      </c>
    </row>
    <row r="385" spans="1:15" ht="20.25" customHeight="1" x14ac:dyDescent="0.15">
      <c r="A385" s="29"/>
      <c r="B385" s="17" t="s">
        <v>17</v>
      </c>
      <c r="C385" s="31" t="s">
        <v>313</v>
      </c>
      <c r="D385" s="17" t="s">
        <v>457</v>
      </c>
      <c r="E385" s="28">
        <v>7.5</v>
      </c>
      <c r="F385" s="24">
        <v>15.75</v>
      </c>
      <c r="G385" s="36"/>
      <c r="H385" s="25">
        <f t="shared" si="25"/>
        <v>8.25</v>
      </c>
      <c r="I385" s="26">
        <f t="shared" si="28"/>
        <v>15.75</v>
      </c>
      <c r="J385" s="26">
        <f t="shared" si="29"/>
        <v>0</v>
      </c>
      <c r="K385" s="29"/>
    </row>
    <row r="386" spans="1:15" ht="20.25" customHeight="1" x14ac:dyDescent="0.15">
      <c r="A386" s="29"/>
      <c r="B386" s="17" t="s">
        <v>751</v>
      </c>
      <c r="C386" s="31" t="s">
        <v>513</v>
      </c>
      <c r="D386" s="17" t="s">
        <v>457</v>
      </c>
      <c r="E386" s="28">
        <v>7.5</v>
      </c>
      <c r="F386" s="24">
        <v>15.75</v>
      </c>
      <c r="G386" s="36"/>
      <c r="H386" s="25">
        <f t="shared" si="25"/>
        <v>8.25</v>
      </c>
      <c r="I386" s="26">
        <f t="shared" si="28"/>
        <v>15.75</v>
      </c>
      <c r="J386" s="26">
        <f t="shared" si="29"/>
        <v>0</v>
      </c>
      <c r="K386" s="29"/>
    </row>
    <row r="387" spans="1:15" ht="20.25" customHeight="1" x14ac:dyDescent="0.15">
      <c r="B387" s="16" t="s">
        <v>460</v>
      </c>
      <c r="C387" s="23" t="s">
        <v>706</v>
      </c>
      <c r="D387" s="16" t="s">
        <v>734</v>
      </c>
      <c r="E387" s="24">
        <v>3</v>
      </c>
      <c r="F387" s="24">
        <v>6.3</v>
      </c>
      <c r="G387" s="36"/>
      <c r="H387" s="25">
        <f t="shared" si="25"/>
        <v>3.3</v>
      </c>
      <c r="I387" s="26">
        <f t="shared" si="28"/>
        <v>6.3</v>
      </c>
      <c r="J387" s="26">
        <f t="shared" si="29"/>
        <v>0</v>
      </c>
      <c r="L387" s="29"/>
      <c r="M387" s="29"/>
      <c r="N387" s="29"/>
    </row>
    <row r="388" spans="1:15" ht="20.25" customHeight="1" x14ac:dyDescent="0.15">
      <c r="G388" s="25"/>
      <c r="H388" s="25"/>
      <c r="I388" s="26"/>
      <c r="L388" s="29"/>
      <c r="M388" s="29"/>
      <c r="N388" s="29"/>
    </row>
    <row r="389" spans="1:15" ht="20.25" customHeight="1" x14ac:dyDescent="0.15">
      <c r="H389" s="25"/>
    </row>
    <row r="390" spans="1:15" ht="20.25" customHeight="1" x14ac:dyDescent="0.15">
      <c r="H390" s="25"/>
    </row>
    <row r="397" spans="1:15" ht="20.25" customHeight="1" x14ac:dyDescent="0.15">
      <c r="O397" s="29"/>
    </row>
    <row r="398" spans="1:15" ht="6" customHeight="1" x14ac:dyDescent="0.15">
      <c r="O398" s="29"/>
    </row>
    <row r="405" spans="1:16" ht="20.25" customHeight="1" x14ac:dyDescent="0.15">
      <c r="P405" s="29"/>
    </row>
    <row r="406" spans="1:16" ht="20.25" customHeight="1" x14ac:dyDescent="0.15">
      <c r="P406" s="29"/>
    </row>
    <row r="413" spans="1:16" s="29" customFormat="1" ht="20.25" customHeight="1" x14ac:dyDescent="0.15">
      <c r="A413" s="22"/>
      <c r="B413" s="18"/>
      <c r="C413" s="22"/>
      <c r="D413" s="18"/>
      <c r="E413" s="32"/>
      <c r="F413" s="32"/>
      <c r="G413" s="21"/>
      <c r="H413" s="21"/>
      <c r="I413" s="21"/>
      <c r="J413" s="22"/>
      <c r="K413" s="22"/>
      <c r="L413" s="22"/>
      <c r="M413" s="22"/>
      <c r="N413" s="22"/>
      <c r="O413" s="22"/>
      <c r="P413" s="22"/>
    </row>
    <row r="414" spans="1:16" s="29" customFormat="1" ht="20.25" customHeight="1" x14ac:dyDescent="0.15">
      <c r="A414" s="22"/>
      <c r="B414" s="18"/>
      <c r="C414" s="22"/>
      <c r="D414" s="18"/>
      <c r="E414" s="32"/>
      <c r="F414" s="32"/>
      <c r="G414" s="21"/>
      <c r="H414" s="21"/>
      <c r="I414" s="21"/>
      <c r="J414" s="22"/>
      <c r="K414" s="22"/>
      <c r="L414" s="22"/>
      <c r="M414" s="22"/>
      <c r="N414" s="22"/>
      <c r="O414" s="22"/>
      <c r="P414" s="22"/>
    </row>
    <row r="416" spans="1:16" ht="9" customHeight="1" x14ac:dyDescent="0.15"/>
  </sheetData>
  <phoneticPr fontId="2" type="noConversion"/>
  <printOptions horizontalCentered="1"/>
  <pageMargins left="0" right="0" top="0" bottom="0" header="0" footer="0"/>
  <pageSetup scale="75" firstPageNumber="0" fitToWidth="0" fitToHeight="0" orientation="portrait" useFirstPageNumber="1" horizontalDpi="360" verticalDpi="36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1C1C-269B-42AA-9D23-6ED177D59EAD}">
  <sheetPr>
    <pageSetUpPr autoPageBreaks="0" fitToPage="1"/>
  </sheetPr>
  <dimension ref="A1:H56"/>
  <sheetViews>
    <sheetView showOutlineSymbols="0" topLeftCell="A33" workbookViewId="0">
      <selection activeCell="A20" sqref="A20"/>
    </sheetView>
  </sheetViews>
  <sheetFormatPr baseColWidth="10" defaultColWidth="14.25" defaultRowHeight="20.25" customHeight="1" x14ac:dyDescent="0.15"/>
  <cols>
    <col min="1" max="1" width="14.25" style="45"/>
    <col min="2" max="2" width="41.25" style="1" bestFit="1" customWidth="1"/>
    <col min="3" max="3" width="14.25" style="1"/>
    <col min="4" max="4" width="31" style="1" customWidth="1"/>
    <col min="5" max="16384" width="14.25" style="1"/>
  </cols>
  <sheetData>
    <row r="1" spans="1:8" s="2" customFormat="1" ht="20.25" customHeight="1" x14ac:dyDescent="0.15">
      <c r="A1" s="3" t="s">
        <v>259</v>
      </c>
      <c r="B1" s="3" t="s">
        <v>639</v>
      </c>
      <c r="C1" s="3" t="s">
        <v>307</v>
      </c>
      <c r="D1" s="3" t="s">
        <v>366</v>
      </c>
      <c r="E1" s="3" t="s">
        <v>469</v>
      </c>
      <c r="F1" s="3" t="s">
        <v>103</v>
      </c>
      <c r="G1" s="3" t="s">
        <v>570</v>
      </c>
      <c r="H1" s="3" t="s">
        <v>553</v>
      </c>
    </row>
    <row r="2" spans="1:8" s="43" customFormat="1" ht="20.25" customHeight="1" x14ac:dyDescent="0.15">
      <c r="A2" s="44" t="s">
        <v>141</v>
      </c>
      <c r="B2" s="41" t="s">
        <v>637</v>
      </c>
      <c r="C2" s="41" t="s">
        <v>485</v>
      </c>
      <c r="D2" s="41" t="s">
        <v>744</v>
      </c>
      <c r="E2" s="42">
        <v>0</v>
      </c>
      <c r="F2" s="42">
        <v>8.6999999999999993</v>
      </c>
      <c r="G2" s="42">
        <v>8.6999999999999993</v>
      </c>
      <c r="H2" s="42">
        <v>0</v>
      </c>
    </row>
    <row r="3" spans="1:8" s="43" customFormat="1" ht="20.25" customHeight="1" x14ac:dyDescent="0.15">
      <c r="A3" s="44" t="s">
        <v>333</v>
      </c>
      <c r="B3" s="41" t="s">
        <v>75</v>
      </c>
      <c r="C3" s="41" t="s">
        <v>485</v>
      </c>
      <c r="D3" s="41" t="s">
        <v>744</v>
      </c>
      <c r="E3" s="42">
        <v>0</v>
      </c>
      <c r="F3" s="42">
        <v>6.94</v>
      </c>
      <c r="G3" s="42">
        <v>6.94</v>
      </c>
      <c r="H3" s="42">
        <v>0</v>
      </c>
    </row>
    <row r="4" spans="1:8" s="43" customFormat="1" ht="20.25" customHeight="1" x14ac:dyDescent="0.15">
      <c r="A4" s="44" t="s">
        <v>132</v>
      </c>
      <c r="B4" s="41" t="s">
        <v>763</v>
      </c>
      <c r="C4" s="41" t="s">
        <v>485</v>
      </c>
      <c r="D4" s="41" t="s">
        <v>744</v>
      </c>
      <c r="E4" s="42">
        <v>0</v>
      </c>
      <c r="F4" s="42">
        <v>26</v>
      </c>
      <c r="G4" s="42">
        <v>26</v>
      </c>
      <c r="H4" s="42">
        <v>0</v>
      </c>
    </row>
    <row r="5" spans="1:8" s="43" customFormat="1" ht="20.25" customHeight="1" x14ac:dyDescent="0.15">
      <c r="A5" s="44" t="s">
        <v>19</v>
      </c>
      <c r="B5" s="41" t="s">
        <v>606</v>
      </c>
      <c r="C5" s="41" t="s">
        <v>485</v>
      </c>
      <c r="D5" s="41" t="s">
        <v>388</v>
      </c>
      <c r="E5" s="42">
        <v>0</v>
      </c>
      <c r="F5" s="42">
        <v>7.94</v>
      </c>
      <c r="G5" s="42">
        <v>7.94</v>
      </c>
      <c r="H5" s="42">
        <v>0</v>
      </c>
    </row>
    <row r="6" spans="1:8" s="43" customFormat="1" ht="20.25" customHeight="1" x14ac:dyDescent="0.15">
      <c r="A6" s="44" t="s">
        <v>557</v>
      </c>
      <c r="B6" s="41" t="s">
        <v>83</v>
      </c>
      <c r="C6" s="41" t="s">
        <v>485</v>
      </c>
      <c r="D6" s="41" t="s">
        <v>388</v>
      </c>
      <c r="E6" s="42">
        <v>0</v>
      </c>
      <c r="F6" s="42">
        <v>4</v>
      </c>
      <c r="G6" s="42">
        <v>4</v>
      </c>
      <c r="H6" s="42">
        <v>0</v>
      </c>
    </row>
    <row r="7" spans="1:8" s="43" customFormat="1" ht="20.25" customHeight="1" x14ac:dyDescent="0.15">
      <c r="A7" s="44" t="s">
        <v>358</v>
      </c>
      <c r="B7" s="41" t="s">
        <v>196</v>
      </c>
      <c r="C7" s="41" t="s">
        <v>485</v>
      </c>
      <c r="D7" s="41" t="s">
        <v>388</v>
      </c>
      <c r="E7" s="42">
        <v>0</v>
      </c>
      <c r="F7" s="42">
        <v>3.16</v>
      </c>
      <c r="G7" s="42">
        <v>3.16</v>
      </c>
      <c r="H7" s="42">
        <v>0</v>
      </c>
    </row>
    <row r="8" spans="1:8" s="43" customFormat="1" ht="20.25" customHeight="1" x14ac:dyDescent="0.15">
      <c r="A8" s="44" t="s">
        <v>188</v>
      </c>
      <c r="B8" s="41" t="s">
        <v>523</v>
      </c>
      <c r="C8" s="41" t="s">
        <v>485</v>
      </c>
      <c r="D8" s="41" t="s">
        <v>388</v>
      </c>
      <c r="E8" s="42">
        <v>0</v>
      </c>
      <c r="F8" s="42">
        <v>4.75</v>
      </c>
      <c r="G8" s="42">
        <v>4.75</v>
      </c>
      <c r="H8" s="42">
        <v>0</v>
      </c>
    </row>
    <row r="9" spans="1:8" s="43" customFormat="1" ht="20.25" customHeight="1" x14ac:dyDescent="0.15">
      <c r="A9" s="44" t="s">
        <v>231</v>
      </c>
      <c r="B9" s="41" t="s">
        <v>379</v>
      </c>
      <c r="C9" s="41" t="s">
        <v>485</v>
      </c>
      <c r="D9" s="41" t="s">
        <v>388</v>
      </c>
      <c r="E9" s="42">
        <v>0</v>
      </c>
      <c r="F9" s="42">
        <v>4.17</v>
      </c>
      <c r="G9" s="42">
        <v>4.17</v>
      </c>
      <c r="H9" s="42">
        <v>0</v>
      </c>
    </row>
    <row r="10" spans="1:8" s="43" customFormat="1" ht="20.25" customHeight="1" x14ac:dyDescent="0.15">
      <c r="A10" s="44" t="s">
        <v>321</v>
      </c>
      <c r="B10" s="41" t="s">
        <v>174</v>
      </c>
      <c r="C10" s="41" t="s">
        <v>485</v>
      </c>
      <c r="D10" s="41" t="s">
        <v>744</v>
      </c>
      <c r="E10" s="42">
        <v>0</v>
      </c>
      <c r="F10" s="42">
        <v>5.17</v>
      </c>
      <c r="G10" s="42">
        <v>5.17</v>
      </c>
      <c r="H10" s="42">
        <v>0</v>
      </c>
    </row>
    <row r="11" spans="1:8" s="43" customFormat="1" ht="20.25" customHeight="1" x14ac:dyDescent="0.15">
      <c r="A11" s="44" t="s">
        <v>593</v>
      </c>
      <c r="B11" s="41" t="s">
        <v>519</v>
      </c>
      <c r="C11" s="41" t="s">
        <v>485</v>
      </c>
      <c r="D11" s="41" t="s">
        <v>556</v>
      </c>
      <c r="E11" s="42">
        <v>0</v>
      </c>
      <c r="F11" s="42">
        <v>4.59</v>
      </c>
      <c r="G11" s="42">
        <v>5</v>
      </c>
      <c r="H11" s="42">
        <v>8.9324617385864258</v>
      </c>
    </row>
    <row r="12" spans="1:8" s="43" customFormat="1" ht="20.25" customHeight="1" x14ac:dyDescent="0.15">
      <c r="A12" s="44" t="s">
        <v>434</v>
      </c>
      <c r="B12" s="41" t="s">
        <v>56</v>
      </c>
      <c r="C12" s="41" t="s">
        <v>485</v>
      </c>
      <c r="D12" s="41" t="s">
        <v>226</v>
      </c>
      <c r="E12" s="42">
        <v>0</v>
      </c>
      <c r="F12" s="42">
        <v>3.12</v>
      </c>
      <c r="G12" s="42">
        <v>5</v>
      </c>
      <c r="H12" s="42">
        <v>60.25640869140625</v>
      </c>
    </row>
    <row r="13" spans="1:8" s="43" customFormat="1" ht="20.25" customHeight="1" x14ac:dyDescent="0.15">
      <c r="A13" s="44" t="s">
        <v>338</v>
      </c>
      <c r="B13" s="41" t="s">
        <v>11</v>
      </c>
      <c r="C13" s="41" t="s">
        <v>485</v>
      </c>
      <c r="D13" s="41" t="s">
        <v>399</v>
      </c>
      <c r="E13" s="42">
        <v>0</v>
      </c>
      <c r="F13" s="42">
        <v>4.75</v>
      </c>
      <c r="G13" s="42">
        <v>4.75</v>
      </c>
      <c r="H13" s="42">
        <v>0</v>
      </c>
    </row>
    <row r="14" spans="1:8" s="43" customFormat="1" ht="20.25" customHeight="1" x14ac:dyDescent="0.15">
      <c r="A14" s="44" t="s">
        <v>393</v>
      </c>
      <c r="B14" s="41" t="s">
        <v>696</v>
      </c>
      <c r="C14" s="41" t="s">
        <v>485</v>
      </c>
      <c r="D14" s="41" t="s">
        <v>621</v>
      </c>
      <c r="E14" s="42">
        <v>0</v>
      </c>
      <c r="F14" s="42">
        <v>3.16</v>
      </c>
      <c r="G14" s="42">
        <v>3.16</v>
      </c>
      <c r="H14" s="42">
        <v>0</v>
      </c>
    </row>
    <row r="15" spans="1:8" s="43" customFormat="1" ht="20.25" customHeight="1" x14ac:dyDescent="0.15">
      <c r="A15" s="44" t="s">
        <v>360</v>
      </c>
      <c r="B15" s="41" t="s">
        <v>112</v>
      </c>
      <c r="C15" s="41" t="s">
        <v>485</v>
      </c>
      <c r="D15" s="41" t="s">
        <v>648</v>
      </c>
      <c r="E15" s="42">
        <v>0</v>
      </c>
      <c r="F15" s="42">
        <v>3</v>
      </c>
      <c r="G15" s="42">
        <v>4</v>
      </c>
      <c r="H15" s="42">
        <v>33.333332061767578</v>
      </c>
    </row>
    <row r="16" spans="1:8" s="43" customFormat="1" ht="20.25" customHeight="1" x14ac:dyDescent="0.15">
      <c r="A16" s="44" t="s">
        <v>626</v>
      </c>
      <c r="B16" s="41" t="s">
        <v>618</v>
      </c>
      <c r="C16" s="41" t="s">
        <v>485</v>
      </c>
      <c r="D16" s="41" t="s">
        <v>383</v>
      </c>
      <c r="E16" s="42">
        <v>0</v>
      </c>
      <c r="F16" s="42">
        <v>4.5</v>
      </c>
      <c r="G16" s="42">
        <v>5</v>
      </c>
      <c r="H16" s="42">
        <v>11.111110687255859</v>
      </c>
    </row>
    <row r="17" spans="1:8" s="43" customFormat="1" ht="20.25" customHeight="1" x14ac:dyDescent="0.15">
      <c r="A17" s="44" t="s">
        <v>178</v>
      </c>
      <c r="B17" s="41" t="s">
        <v>601</v>
      </c>
      <c r="C17" s="41" t="s">
        <v>485</v>
      </c>
      <c r="D17" s="41" t="s">
        <v>383</v>
      </c>
      <c r="E17" s="42">
        <v>0</v>
      </c>
      <c r="F17" s="42">
        <v>1.25</v>
      </c>
      <c r="G17" s="42">
        <v>1.25</v>
      </c>
      <c r="H17" s="42">
        <v>0</v>
      </c>
    </row>
    <row r="18" spans="1:8" s="43" customFormat="1" ht="20.25" customHeight="1" x14ac:dyDescent="0.15">
      <c r="A18" s="44" t="s">
        <v>162</v>
      </c>
      <c r="B18" s="41" t="s">
        <v>299</v>
      </c>
      <c r="C18" s="41" t="s">
        <v>485</v>
      </c>
      <c r="D18" s="41" t="s">
        <v>648</v>
      </c>
      <c r="E18" s="42">
        <v>0</v>
      </c>
      <c r="F18" s="42">
        <v>3</v>
      </c>
      <c r="G18" s="42">
        <v>4</v>
      </c>
      <c r="H18" s="42">
        <v>33.333332061767578</v>
      </c>
    </row>
    <row r="19" spans="1:8" s="43" customFormat="1" ht="20.25" customHeight="1" x14ac:dyDescent="0.15">
      <c r="A19" s="44" t="s">
        <v>361</v>
      </c>
      <c r="B19" s="41" t="s">
        <v>617</v>
      </c>
      <c r="C19" s="41" t="s">
        <v>485</v>
      </c>
      <c r="D19" s="41" t="s">
        <v>383</v>
      </c>
      <c r="E19" s="42">
        <v>0</v>
      </c>
      <c r="F19" s="42">
        <v>13.32</v>
      </c>
      <c r="G19" s="42">
        <v>13.32</v>
      </c>
      <c r="H19" s="42">
        <v>0</v>
      </c>
    </row>
    <row r="20" spans="1:8" ht="26.25" customHeight="1" x14ac:dyDescent="0.15">
      <c r="A20" s="5" t="s">
        <v>71</v>
      </c>
      <c r="B20" s="4" t="s">
        <v>176</v>
      </c>
      <c r="C20" s="5" t="s">
        <v>536</v>
      </c>
      <c r="D20" s="4" t="s">
        <v>388</v>
      </c>
      <c r="E20" s="5">
        <v>0</v>
      </c>
      <c r="F20" s="6">
        <v>3</v>
      </c>
      <c r="G20" s="6">
        <v>3.5</v>
      </c>
      <c r="H20" s="6">
        <v>16.666666030883789</v>
      </c>
    </row>
    <row r="21" spans="1:8" ht="26.25" customHeight="1" x14ac:dyDescent="0.15">
      <c r="A21" s="5" t="s">
        <v>586</v>
      </c>
      <c r="B21" s="4" t="s">
        <v>55</v>
      </c>
      <c r="C21" s="5" t="s">
        <v>536</v>
      </c>
      <c r="D21" s="4" t="s">
        <v>621</v>
      </c>
      <c r="E21" s="5">
        <v>0</v>
      </c>
      <c r="F21" s="6">
        <v>3</v>
      </c>
      <c r="G21" s="6">
        <v>3.5</v>
      </c>
      <c r="H21" s="6">
        <v>16.666666030883789</v>
      </c>
    </row>
    <row r="22" spans="1:8" ht="26.25" customHeight="1" x14ac:dyDescent="0.15">
      <c r="A22" s="5" t="s">
        <v>652</v>
      </c>
      <c r="B22" s="4" t="s">
        <v>541</v>
      </c>
      <c r="C22" s="5" t="s">
        <v>453</v>
      </c>
      <c r="D22" s="4" t="s">
        <v>436</v>
      </c>
      <c r="E22" s="5">
        <v>0</v>
      </c>
      <c r="F22" s="6">
        <v>0.6</v>
      </c>
      <c r="G22" s="6">
        <v>1</v>
      </c>
      <c r="H22" s="6">
        <v>66.666664123535156</v>
      </c>
    </row>
    <row r="23" spans="1:8" ht="26.25" customHeight="1" x14ac:dyDescent="0.15">
      <c r="A23" s="5" t="s">
        <v>455</v>
      </c>
      <c r="B23" s="4" t="s">
        <v>522</v>
      </c>
      <c r="C23" s="5" t="s">
        <v>136</v>
      </c>
      <c r="D23" s="4" t="s">
        <v>138</v>
      </c>
      <c r="E23" s="5">
        <v>0</v>
      </c>
      <c r="F23" s="6">
        <v>1.5</v>
      </c>
      <c r="G23" s="6">
        <v>2</v>
      </c>
      <c r="H23" s="6">
        <v>33.333332061767578</v>
      </c>
    </row>
    <row r="24" spans="1:8" ht="26.25" customHeight="1" x14ac:dyDescent="0.15">
      <c r="A24" s="5" t="s">
        <v>467</v>
      </c>
      <c r="B24" s="4" t="s">
        <v>572</v>
      </c>
      <c r="C24" s="5" t="s">
        <v>320</v>
      </c>
      <c r="D24" s="4" t="s">
        <v>436</v>
      </c>
      <c r="E24" s="5">
        <v>0</v>
      </c>
      <c r="F24" s="6">
        <v>0</v>
      </c>
      <c r="G24" s="6">
        <v>0</v>
      </c>
      <c r="H24" s="6">
        <v>0</v>
      </c>
    </row>
    <row r="25" spans="1:8" ht="26.25" customHeight="1" x14ac:dyDescent="0.15">
      <c r="A25" s="5" t="s">
        <v>669</v>
      </c>
      <c r="B25" s="4" t="s">
        <v>442</v>
      </c>
      <c r="C25" s="5" t="s">
        <v>722</v>
      </c>
      <c r="D25" s="4" t="s">
        <v>744</v>
      </c>
      <c r="E25" s="5">
        <v>0</v>
      </c>
      <c r="F25" s="6">
        <v>4.33</v>
      </c>
      <c r="G25" s="6">
        <v>5.5</v>
      </c>
      <c r="H25" s="6">
        <v>27.020784378051758</v>
      </c>
    </row>
    <row r="26" spans="1:8" ht="26.25" customHeight="1" x14ac:dyDescent="0.15">
      <c r="A26" s="5" t="s">
        <v>400</v>
      </c>
      <c r="B26" s="4" t="s">
        <v>587</v>
      </c>
      <c r="C26" s="5" t="s">
        <v>722</v>
      </c>
      <c r="D26" s="4" t="s">
        <v>388</v>
      </c>
      <c r="E26" s="5">
        <v>0</v>
      </c>
      <c r="F26" s="6">
        <v>3.5</v>
      </c>
      <c r="G26" s="6">
        <v>4.5</v>
      </c>
      <c r="H26" s="6">
        <v>28.571428298950195</v>
      </c>
    </row>
    <row r="27" spans="1:8" ht="26.25" customHeight="1" x14ac:dyDescent="0.15">
      <c r="A27" s="5" t="s">
        <v>107</v>
      </c>
      <c r="B27" s="4" t="s">
        <v>531</v>
      </c>
      <c r="C27" s="5" t="s">
        <v>722</v>
      </c>
      <c r="D27" s="4" t="s">
        <v>744</v>
      </c>
      <c r="E27" s="5">
        <v>0</v>
      </c>
      <c r="F27" s="6">
        <v>4.33</v>
      </c>
      <c r="G27" s="6">
        <v>5.5</v>
      </c>
      <c r="H27" s="6">
        <v>27.020784378051758</v>
      </c>
    </row>
    <row r="28" spans="1:8" ht="26.25" customHeight="1" x14ac:dyDescent="0.15">
      <c r="A28" s="5" t="s">
        <v>395</v>
      </c>
      <c r="B28" s="4" t="s">
        <v>630</v>
      </c>
      <c r="C28" s="5" t="s">
        <v>722</v>
      </c>
      <c r="D28" s="4" t="s">
        <v>608</v>
      </c>
      <c r="E28" s="5">
        <v>0</v>
      </c>
      <c r="F28" s="6">
        <v>3.75</v>
      </c>
      <c r="G28" s="6">
        <v>5</v>
      </c>
      <c r="H28" s="6">
        <v>33.333332061767578</v>
      </c>
    </row>
    <row r="29" spans="1:8" ht="26.25" customHeight="1" x14ac:dyDescent="0.15">
      <c r="A29" s="5" t="s">
        <v>525</v>
      </c>
      <c r="B29" s="4" t="s">
        <v>275</v>
      </c>
      <c r="C29" s="5" t="s">
        <v>253</v>
      </c>
      <c r="D29" s="4" t="s">
        <v>608</v>
      </c>
      <c r="E29" s="5">
        <v>0</v>
      </c>
      <c r="F29" s="6">
        <v>2.86</v>
      </c>
      <c r="G29" s="6">
        <v>4</v>
      </c>
      <c r="H29" s="6">
        <v>40.026092529296875</v>
      </c>
    </row>
    <row r="30" spans="1:8" ht="26.25" customHeight="1" x14ac:dyDescent="0.15">
      <c r="A30" s="5" t="s">
        <v>431</v>
      </c>
      <c r="B30" s="4" t="s">
        <v>382</v>
      </c>
      <c r="C30" s="5" t="s">
        <v>777</v>
      </c>
      <c r="D30" s="4" t="s">
        <v>226</v>
      </c>
      <c r="E30" s="5">
        <v>0</v>
      </c>
      <c r="F30" s="6">
        <v>1.59</v>
      </c>
      <c r="G30" s="6">
        <v>5</v>
      </c>
      <c r="H30" s="6">
        <v>214.46540832519531</v>
      </c>
    </row>
    <row r="31" spans="1:8" ht="26.25" customHeight="1" x14ac:dyDescent="0.15">
      <c r="A31" s="5" t="s">
        <v>240</v>
      </c>
      <c r="B31" s="4" t="s">
        <v>205</v>
      </c>
      <c r="C31" s="5" t="s">
        <v>777</v>
      </c>
      <c r="D31" s="4" t="s">
        <v>226</v>
      </c>
      <c r="E31" s="5">
        <v>0</v>
      </c>
      <c r="F31" s="6">
        <v>2.78</v>
      </c>
      <c r="G31" s="6">
        <v>5</v>
      </c>
      <c r="H31" s="6">
        <v>79.856117248535156</v>
      </c>
    </row>
    <row r="32" spans="1:8" ht="26.25" customHeight="1" x14ac:dyDescent="0.15">
      <c r="A32" s="5" t="s">
        <v>173</v>
      </c>
      <c r="B32" s="4" t="s">
        <v>18</v>
      </c>
      <c r="C32" s="5" t="s">
        <v>777</v>
      </c>
      <c r="D32" s="4" t="s">
        <v>226</v>
      </c>
      <c r="E32" s="5">
        <v>0</v>
      </c>
      <c r="F32" s="6">
        <v>2.1800000000000002</v>
      </c>
      <c r="G32" s="6">
        <v>4</v>
      </c>
      <c r="H32" s="6">
        <v>83.486236572265625</v>
      </c>
    </row>
    <row r="33" spans="1:8" ht="26.25" customHeight="1" x14ac:dyDescent="0.15">
      <c r="A33" s="5" t="s">
        <v>571</v>
      </c>
      <c r="B33" s="4" t="s">
        <v>604</v>
      </c>
      <c r="C33" s="5" t="s">
        <v>777</v>
      </c>
      <c r="D33" s="4" t="s">
        <v>226</v>
      </c>
      <c r="E33" s="5">
        <v>0</v>
      </c>
      <c r="F33" s="6">
        <v>1.71</v>
      </c>
      <c r="G33" s="6">
        <v>5</v>
      </c>
      <c r="H33" s="6">
        <v>192.39765930175781</v>
      </c>
    </row>
    <row r="34" spans="1:8" ht="26.25" customHeight="1" x14ac:dyDescent="0.15">
      <c r="A34" s="5" t="s">
        <v>8</v>
      </c>
      <c r="B34" s="4" t="s">
        <v>199</v>
      </c>
      <c r="C34" s="5" t="s">
        <v>777</v>
      </c>
      <c r="D34" s="4" t="s">
        <v>226</v>
      </c>
      <c r="E34" s="5">
        <v>0</v>
      </c>
      <c r="F34" s="6">
        <v>1.68</v>
      </c>
      <c r="G34" s="6">
        <v>4</v>
      </c>
      <c r="H34" s="6">
        <v>138.09524536132812</v>
      </c>
    </row>
    <row r="35" spans="1:8" ht="26.25" customHeight="1" x14ac:dyDescent="0.15">
      <c r="A35" s="5" t="s">
        <v>549</v>
      </c>
      <c r="B35" s="4" t="s">
        <v>249</v>
      </c>
      <c r="C35" s="5" t="s">
        <v>777</v>
      </c>
      <c r="D35" s="4" t="s">
        <v>226</v>
      </c>
      <c r="E35" s="5">
        <v>0</v>
      </c>
      <c r="F35" s="6">
        <v>2.1800000000000002</v>
      </c>
      <c r="G35" s="6">
        <v>5</v>
      </c>
      <c r="H35" s="6">
        <v>129.35780334472656</v>
      </c>
    </row>
    <row r="36" spans="1:8" ht="26.25" customHeight="1" x14ac:dyDescent="0.15">
      <c r="A36" s="5" t="s">
        <v>720</v>
      </c>
      <c r="B36" s="4" t="s">
        <v>262</v>
      </c>
      <c r="C36" s="5" t="s">
        <v>777</v>
      </c>
      <c r="D36" s="4" t="s">
        <v>226</v>
      </c>
      <c r="E36" s="5">
        <v>0</v>
      </c>
      <c r="F36" s="6">
        <v>1.52</v>
      </c>
      <c r="G36" s="6">
        <v>4</v>
      </c>
      <c r="H36" s="6">
        <v>163.15789794921875</v>
      </c>
    </row>
    <row r="37" spans="1:8" ht="26.25" customHeight="1" x14ac:dyDescent="0.15">
      <c r="A37" s="5" t="s">
        <v>130</v>
      </c>
      <c r="B37" s="4" t="s">
        <v>632</v>
      </c>
      <c r="C37" s="5" t="s">
        <v>777</v>
      </c>
      <c r="D37" s="4" t="s">
        <v>226</v>
      </c>
      <c r="E37" s="5">
        <v>0</v>
      </c>
      <c r="F37" s="6">
        <v>1.38</v>
      </c>
      <c r="G37" s="6">
        <v>4</v>
      </c>
      <c r="H37" s="6">
        <v>189.85507202148438</v>
      </c>
    </row>
    <row r="38" spans="1:8" ht="26.25" customHeight="1" x14ac:dyDescent="0.15">
      <c r="A38" s="5" t="s">
        <v>48</v>
      </c>
      <c r="B38" s="4" t="s">
        <v>692</v>
      </c>
      <c r="C38" s="5" t="s">
        <v>777</v>
      </c>
      <c r="D38" s="4" t="s">
        <v>226</v>
      </c>
      <c r="E38" s="5">
        <v>0</v>
      </c>
      <c r="F38" s="6">
        <v>1.68</v>
      </c>
      <c r="G38" s="6">
        <v>4</v>
      </c>
      <c r="H38" s="6">
        <v>138.09524536132812</v>
      </c>
    </row>
    <row r="39" spans="1:8" ht="26.25" customHeight="1" x14ac:dyDescent="0.15">
      <c r="A39" s="5" t="s">
        <v>336</v>
      </c>
      <c r="B39" s="4" t="s">
        <v>198</v>
      </c>
      <c r="C39" s="5" t="s">
        <v>777</v>
      </c>
      <c r="D39" s="4" t="s">
        <v>226</v>
      </c>
      <c r="E39" s="5">
        <v>0</v>
      </c>
      <c r="F39" s="6">
        <v>1.52</v>
      </c>
      <c r="G39" s="6">
        <v>4</v>
      </c>
      <c r="H39" s="6">
        <v>163.15789794921875</v>
      </c>
    </row>
    <row r="40" spans="1:8" ht="26.25" customHeight="1" x14ac:dyDescent="0.15">
      <c r="A40" s="5" t="s">
        <v>386</v>
      </c>
      <c r="B40" s="4" t="s">
        <v>238</v>
      </c>
      <c r="C40" s="5" t="s">
        <v>777</v>
      </c>
      <c r="D40" s="4" t="s">
        <v>226</v>
      </c>
      <c r="E40" s="5">
        <v>0</v>
      </c>
      <c r="F40" s="6">
        <v>5</v>
      </c>
      <c r="G40" s="6">
        <v>6</v>
      </c>
      <c r="H40" s="6">
        <v>20</v>
      </c>
    </row>
    <row r="41" spans="1:8" ht="26.25" customHeight="1" x14ac:dyDescent="0.15">
      <c r="A41" s="5" t="s">
        <v>709</v>
      </c>
      <c r="B41" s="4" t="s">
        <v>493</v>
      </c>
      <c r="C41" s="5" t="s">
        <v>777</v>
      </c>
      <c r="D41" s="4" t="s">
        <v>226</v>
      </c>
      <c r="E41" s="5">
        <v>0</v>
      </c>
      <c r="F41" s="6">
        <v>1.52</v>
      </c>
      <c r="G41" s="6">
        <v>4</v>
      </c>
      <c r="H41" s="6">
        <v>163.15789794921875</v>
      </c>
    </row>
    <row r="42" spans="1:8" ht="26.25" customHeight="1" x14ac:dyDescent="0.15">
      <c r="A42" s="5" t="s">
        <v>422</v>
      </c>
      <c r="B42" s="4" t="s">
        <v>437</v>
      </c>
      <c r="C42" s="5" t="s">
        <v>777</v>
      </c>
      <c r="D42" s="4" t="s">
        <v>226</v>
      </c>
      <c r="E42" s="5">
        <v>0</v>
      </c>
      <c r="F42" s="6">
        <v>2.06</v>
      </c>
      <c r="G42" s="6">
        <v>4</v>
      </c>
      <c r="H42" s="6">
        <v>94.174758911132812</v>
      </c>
    </row>
    <row r="43" spans="1:8" ht="26.25" customHeight="1" x14ac:dyDescent="0.15">
      <c r="A43" s="5" t="s">
        <v>49</v>
      </c>
      <c r="B43" s="4" t="s">
        <v>248</v>
      </c>
      <c r="C43" s="5" t="s">
        <v>777</v>
      </c>
      <c r="D43" s="4" t="s">
        <v>226</v>
      </c>
      <c r="E43" s="5">
        <v>0</v>
      </c>
      <c r="F43" s="6">
        <v>1.8</v>
      </c>
      <c r="G43" s="6">
        <v>5</v>
      </c>
      <c r="H43" s="6">
        <v>177.77777099609375</v>
      </c>
    </row>
    <row r="44" spans="1:8" ht="26.25" customHeight="1" x14ac:dyDescent="0.15">
      <c r="A44" s="5" t="s">
        <v>348</v>
      </c>
      <c r="B44" s="4" t="s">
        <v>713</v>
      </c>
      <c r="C44" s="5" t="s">
        <v>777</v>
      </c>
      <c r="D44" s="4" t="s">
        <v>226</v>
      </c>
      <c r="E44" s="5">
        <v>0</v>
      </c>
      <c r="F44" s="6">
        <v>1.52</v>
      </c>
      <c r="G44" s="6">
        <v>4</v>
      </c>
      <c r="H44" s="6">
        <v>163.15789794921875</v>
      </c>
    </row>
    <row r="45" spans="1:8" ht="26.25" customHeight="1" x14ac:dyDescent="0.15">
      <c r="A45" s="5" t="s">
        <v>237</v>
      </c>
      <c r="B45" s="4" t="s">
        <v>545</v>
      </c>
      <c r="C45" s="5" t="s">
        <v>777</v>
      </c>
      <c r="D45" s="4" t="s">
        <v>226</v>
      </c>
      <c r="E45" s="5">
        <v>0</v>
      </c>
      <c r="F45" s="6">
        <v>2.0699999999999998</v>
      </c>
      <c r="G45" s="6">
        <v>4</v>
      </c>
      <c r="H45" s="6">
        <v>93.236717224121094</v>
      </c>
    </row>
    <row r="46" spans="1:8" ht="26.25" customHeight="1" x14ac:dyDescent="0.15">
      <c r="A46" s="5" t="s">
        <v>373</v>
      </c>
      <c r="B46" s="4" t="s">
        <v>91</v>
      </c>
      <c r="C46" s="5" t="s">
        <v>777</v>
      </c>
      <c r="D46" s="4" t="s">
        <v>226</v>
      </c>
      <c r="E46" s="5">
        <v>0</v>
      </c>
      <c r="F46" s="6">
        <v>2.0699999999999998</v>
      </c>
      <c r="G46" s="6">
        <v>5</v>
      </c>
      <c r="H46" s="6">
        <v>141.5458984375</v>
      </c>
    </row>
    <row r="47" spans="1:8" ht="26.25" customHeight="1" x14ac:dyDescent="0.15">
      <c r="A47" s="5" t="s">
        <v>364</v>
      </c>
      <c r="B47" s="4" t="s">
        <v>344</v>
      </c>
      <c r="C47" s="5" t="s">
        <v>777</v>
      </c>
      <c r="D47" s="4" t="s">
        <v>226</v>
      </c>
      <c r="E47" s="5">
        <v>0</v>
      </c>
      <c r="F47" s="6">
        <v>1.81</v>
      </c>
      <c r="G47" s="6">
        <v>4</v>
      </c>
      <c r="H47" s="6">
        <v>120.99447631835938</v>
      </c>
    </row>
    <row r="48" spans="1:8" ht="26.25" customHeight="1" x14ac:dyDescent="0.15">
      <c r="A48" s="5" t="s">
        <v>749</v>
      </c>
      <c r="B48" s="4" t="s">
        <v>216</v>
      </c>
      <c r="C48" s="5" t="s">
        <v>777</v>
      </c>
      <c r="D48" s="4" t="s">
        <v>226</v>
      </c>
      <c r="E48" s="5">
        <v>0</v>
      </c>
      <c r="F48" s="6">
        <v>1.61</v>
      </c>
      <c r="G48" s="6">
        <v>4</v>
      </c>
      <c r="H48" s="6">
        <v>148.44720458984375</v>
      </c>
    </row>
    <row r="49" spans="1:8" ht="26.25" customHeight="1" x14ac:dyDescent="0.15">
      <c r="A49" s="5" t="s">
        <v>269</v>
      </c>
      <c r="B49" s="4" t="s">
        <v>528</v>
      </c>
      <c r="C49" s="5" t="s">
        <v>777</v>
      </c>
      <c r="D49" s="4" t="s">
        <v>226</v>
      </c>
      <c r="E49" s="5">
        <v>0</v>
      </c>
      <c r="F49" s="6">
        <v>1.62</v>
      </c>
      <c r="G49" s="6">
        <v>5</v>
      </c>
      <c r="H49" s="6">
        <v>208.6419677734375</v>
      </c>
    </row>
    <row r="50" spans="1:8" ht="26.25" customHeight="1" x14ac:dyDescent="0.15">
      <c r="A50" s="5" t="s">
        <v>158</v>
      </c>
      <c r="B50" s="4" t="s">
        <v>564</v>
      </c>
      <c r="C50" s="5" t="s">
        <v>777</v>
      </c>
      <c r="D50" s="4" t="s">
        <v>226</v>
      </c>
      <c r="E50" s="5">
        <v>0</v>
      </c>
      <c r="F50" s="6">
        <v>1.91</v>
      </c>
      <c r="G50" s="6">
        <v>4</v>
      </c>
      <c r="H50" s="6">
        <v>109.42408752441406</v>
      </c>
    </row>
    <row r="51" spans="1:8" s="10" customFormat="1" ht="26.25" customHeight="1" x14ac:dyDescent="0.15">
      <c r="A51" s="7" t="s">
        <v>369</v>
      </c>
      <c r="B51" s="8" t="s">
        <v>635</v>
      </c>
      <c r="C51" s="7" t="s">
        <v>703</v>
      </c>
      <c r="D51" s="8" t="s">
        <v>138</v>
      </c>
      <c r="E51" s="7">
        <v>0</v>
      </c>
      <c r="F51" s="9">
        <v>1.72</v>
      </c>
      <c r="G51" s="9">
        <v>2.5</v>
      </c>
      <c r="H51" s="9">
        <v>45.348838806152344</v>
      </c>
    </row>
    <row r="52" spans="1:8" s="10" customFormat="1" ht="26.25" customHeight="1" x14ac:dyDescent="0.15">
      <c r="A52" s="7" t="s">
        <v>80</v>
      </c>
      <c r="B52" s="8" t="s">
        <v>370</v>
      </c>
      <c r="C52" s="7" t="s">
        <v>703</v>
      </c>
      <c r="D52" s="8" t="s">
        <v>138</v>
      </c>
      <c r="E52" s="7">
        <v>0</v>
      </c>
      <c r="F52" s="9">
        <v>0</v>
      </c>
      <c r="G52" s="9">
        <v>0</v>
      </c>
      <c r="H52" s="9">
        <v>0</v>
      </c>
    </row>
    <row r="53" spans="1:8" ht="26.25" customHeight="1" x14ac:dyDescent="0.15">
      <c r="A53" s="5" t="s">
        <v>480</v>
      </c>
      <c r="B53" s="4" t="s">
        <v>630</v>
      </c>
      <c r="C53" s="5" t="s">
        <v>703</v>
      </c>
      <c r="D53" s="4" t="s">
        <v>608</v>
      </c>
      <c r="E53" s="5">
        <v>0</v>
      </c>
      <c r="F53" s="6">
        <v>7.58</v>
      </c>
      <c r="G53" s="6">
        <v>9</v>
      </c>
      <c r="H53" s="6">
        <v>18.733509063720703</v>
      </c>
    </row>
    <row r="54" spans="1:8" s="10" customFormat="1" ht="26.25" customHeight="1" x14ac:dyDescent="0.15">
      <c r="A54" s="7" t="s">
        <v>499</v>
      </c>
      <c r="B54" s="8" t="s">
        <v>743</v>
      </c>
      <c r="C54" s="7" t="s">
        <v>78</v>
      </c>
      <c r="D54" s="8" t="s">
        <v>383</v>
      </c>
      <c r="E54" s="7">
        <v>0</v>
      </c>
      <c r="F54" s="9">
        <v>5</v>
      </c>
      <c r="G54" s="9">
        <v>7</v>
      </c>
      <c r="H54" s="9">
        <v>40</v>
      </c>
    </row>
    <row r="55" spans="1:8" ht="26.25" customHeight="1" x14ac:dyDescent="0.15">
      <c r="A55" s="5" t="s">
        <v>24</v>
      </c>
      <c r="B55" s="4" t="s">
        <v>731</v>
      </c>
      <c r="C55" s="5" t="s">
        <v>31</v>
      </c>
      <c r="D55" s="4" t="s">
        <v>388</v>
      </c>
      <c r="E55" s="5">
        <v>0</v>
      </c>
      <c r="F55" s="6">
        <v>24.76</v>
      </c>
      <c r="G55" s="6">
        <v>32</v>
      </c>
      <c r="H55" s="6">
        <v>29.240711212158203</v>
      </c>
    </row>
    <row r="56" spans="1:8" ht="26.25" customHeight="1" x14ac:dyDescent="0.15">
      <c r="A56" s="5" t="s">
        <v>390</v>
      </c>
      <c r="B56" s="4" t="s">
        <v>176</v>
      </c>
      <c r="C56" s="5" t="s">
        <v>31</v>
      </c>
      <c r="D56" s="4" t="s">
        <v>388</v>
      </c>
      <c r="E56" s="5">
        <v>0</v>
      </c>
      <c r="F56" s="6">
        <v>6.36</v>
      </c>
      <c r="G56" s="6">
        <v>8</v>
      </c>
      <c r="H56" s="6">
        <v>25.786163330078125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</vt:lpstr>
      <vt:lpstr>PRODUCTOS PARA INACTIVAR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Dorante Mendoza</dc:creator>
  <cp:lastModifiedBy>Diego Guzman</cp:lastModifiedBy>
  <cp:lastPrinted>2025-12-29T16:32:05Z</cp:lastPrinted>
  <dcterms:created xsi:type="dcterms:W3CDTF">2025-11-14T19:30:36Z</dcterms:created>
  <dcterms:modified xsi:type="dcterms:W3CDTF">2026-01-07T16:01:34Z</dcterms:modified>
</cp:coreProperties>
</file>